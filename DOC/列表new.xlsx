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<sst xmlns="http://schemas.openxmlformats.org/spreadsheetml/2006/main" count="128">
  <si>
    <t>区域</t>
  </si>
  <si>
    <t>物品名称</t>
  </si>
  <si>
    <t>参数</t>
  </si>
  <si>
    <t>数量</t>
  </si>
  <si>
    <t>价格</t>
  </si>
  <si>
    <t>总价</t>
  </si>
  <si>
    <t>链接</t>
  </si>
  <si>
    <t>必要性</t>
  </si>
  <si>
    <t>备注</t>
  </si>
  <si>
    <t>是否购买</t>
  </si>
  <si>
    <t>入户</t>
  </si>
  <si>
    <t>小米全自动智能门锁</t>
  </si>
  <si>
    <t>https://www.xiaomiyoupin.com/detail?gid=135822&amp;spmref=YouPinPC.$SearchFilter$1.search_list.2.88286525</t>
  </si>
  <si>
    <t>是</t>
  </si>
  <si>
    <t>米家智能猫眼</t>
  </si>
  <si>
    <t>https://www.xiaomiyoupin.com/detail?gid=117795&amp;spmref=YouPinPC.$SearchFilter$1.search_list.1.28886673</t>
  </si>
  <si>
    <t>客厅</t>
  </si>
  <si>
    <t>Redmi 智能电视 X65</t>
  </si>
  <si>
    <t>https://www.xiaomiyoupin.com/detail?gid=127787&amp;spmref=YouPinPC.$SearchFilter$1.search_list.4.43183516</t>
  </si>
  <si>
    <t>海尔（Haier）1.5匹 变频</t>
  </si>
  <si>
    <t>https://product.suning.com/0000000000/12027150633.html?safp=d488778a.13701.productWrap.11&amp;safc=prd.0.0&amp;safpn=10007</t>
  </si>
  <si>
    <t>茶几</t>
  </si>
  <si>
    <t>电视柜</t>
  </si>
  <si>
    <t>沙发</t>
  </si>
  <si>
    <t>墙面镜</t>
  </si>
  <si>
    <t>窗帘</t>
  </si>
  <si>
    <t>BINNIFA电视投影专用5.1家庭影院</t>
  </si>
  <si>
    <t>https://www.xiaomiyoupin.com/detail?gid=126117&amp;spmref=YouPinPC.$SearchFilter$1.search_list.2.56548269</t>
  </si>
  <si>
    <t>厨房</t>
  </si>
  <si>
    <t>云米Cross2.0 跨界升降烟灶套装</t>
  </si>
  <si>
    <t>换气扇</t>
  </si>
  <si>
    <t>小天鹅（LittleSwan）452升对开门冰箱</t>
  </si>
  <si>
    <t>https://item.jd.com/100006633518.html</t>
  </si>
  <si>
    <t>小米洗碗机8套</t>
  </si>
  <si>
    <t>美的（Midea）16升燃气热水器天然气</t>
  </si>
  <si>
    <t>https://item.jd.com/100008168207.html#crumb-wrap</t>
  </si>
  <si>
    <t>水槽</t>
  </si>
  <si>
    <t>卫生间</t>
  </si>
  <si>
    <t>大白智净抗菌智能马桶</t>
  </si>
  <si>
    <t>https://www.xiaomiyoupin.com/detail?gid=115357&amp;spmref=YouPinPC.$SearchFilter$1.search_list.2.42933064</t>
  </si>
  <si>
    <t>洗漱盆</t>
  </si>
  <si>
    <t>镜柜</t>
  </si>
  <si>
    <t>邦先生电热烘干毛巾架</t>
  </si>
  <si>
    <t>https://www.xiaomiyoupin.com/detail?gid=119960&amp;spmref=YouPinPC.$SearchFilter$1.search_list.2.21706242</t>
  </si>
  <si>
    <t>米家智能浴霸Pro</t>
  </si>
  <si>
    <t>https://www.xiaomiyoupin.com/detail?gid=136389&amp;spmref=YouPinPC.$SearchFilter$1.search_list.2.28598156</t>
  </si>
  <si>
    <t>卧室1</t>
  </si>
  <si>
    <t>海尔1匹1级能效</t>
  </si>
  <si>
    <t>https://product.suning.com/0070088046/11629599146.html?safp=d488778a.13701.productWrap.28&amp;safc=prd.0.0&amp;safpn=10007</t>
  </si>
  <si>
    <t>宜家 SLATTUM 斯拉图 床</t>
  </si>
  <si>
    <t>150*200</t>
  </si>
  <si>
    <t>宜家家居</t>
  </si>
  <si>
    <t>床头柜</t>
  </si>
  <si>
    <t>化妆桌</t>
  </si>
  <si>
    <t>宜家 VADSO 瓦得索 床垫</t>
  </si>
  <si>
    <t>150*200*17</t>
  </si>
  <si>
    <t>被</t>
  </si>
  <si>
    <t>投影仪</t>
  </si>
  <si>
    <t>卧室2</t>
  </si>
  <si>
    <t>床垫</t>
  </si>
  <si>
    <t>阳台</t>
  </si>
  <si>
    <t>米家智能晾衣机</t>
  </si>
  <si>
    <t>https://www.xiaomiyoupin.com/detail?gid=125026&amp;spmref=YouPinPC.$SearchFilter$1.search_list.1.75195754</t>
  </si>
  <si>
    <t>灯具</t>
  </si>
  <si>
    <t>Yeelight灵犀吸顶灯套系</t>
  </si>
  <si>
    <t>客厅*1卧室*2阳台*1</t>
  </si>
  <si>
    <t>https://www.xiaomiyoupin.com/detail?gid=111293&amp;spmref=YouPinPC.$SearchFilter$1.search_list.4.98115509</t>
  </si>
  <si>
    <t>面板灯</t>
  </si>
  <si>
    <t>厨房*2  （30*30 + 30*60）</t>
  </si>
  <si>
    <t>https://item.taobao.com/item.htm?id=593028039732&amp;price=39-188&amp;original_price=80-436&amp;sourceType=item&amp;sourceType=item&amp;suid=e79d86f5-7c8e-46be-9fda-778b61054d5e&amp;shareUniqueId=7790585142&amp;ut_sk=1.XCwCMwk8jjwDAEGvvZy5Lveg_21646297_1613630634407.Copy.1&amp;un=718dd11419ff10cc6eabd07a58355624&amp;share_crt_v=1&amp;spm=a2159r.13376460.0.0&amp;sp_tk=cUJVRGN4ZjZsbG4=&amp;cpp=1&amp;shareurl=true&amp;short_name=h.4kzopq7&amp;bxsign=scdQb1KsAV1P6jKP_N3azig_gyp9wyfJ5YSgu5aWm6ibl9HDGzPtj71SByVbDCmyFkmHnrOJNbUYdiPHQIUJJVaSnxQP9zobHX8zF7w1Rjcxxc&amp;sm=711516&amp;app=chrome</t>
  </si>
  <si>
    <t>走廊灯</t>
  </si>
  <si>
    <t>走廊</t>
  </si>
  <si>
    <t>米家台灯1S</t>
  </si>
  <si>
    <t>卧室</t>
  </si>
  <si>
    <t>https://www.xiaomiyoupin.com/detail?gid=107408&amp;spmref=YouPinPC.$SearchFilter$1.search_list.3.38724657</t>
  </si>
  <si>
    <t>Yeelight皓石感应LED吸顶灯mini</t>
  </si>
  <si>
    <t>入户上方</t>
  </si>
  <si>
    <t>https://www.xiaomiyoupin.com/detail?gid=102620&amp;spmref=YouPinPC.$SearchFilter$1.search_list.4.59283788</t>
  </si>
  <si>
    <t>建材</t>
  </si>
  <si>
    <t>6类网线</t>
  </si>
  <si>
    <t>室内组网 300M一箱</t>
  </si>
  <si>
    <t>https://detail.tmall.com/item.htm?spm=a230r.1.14.127.6e44622fiTCBq2&amp;id=25876644822&amp;ns=1&amp;abbucket=16&amp;skuId=35977245669</t>
  </si>
  <si>
    <t>小米米家智能墙壁插座</t>
  </si>
  <si>
    <t>厨房*3（电力轨道，冰箱，洗衣机）
客厅*5（电视下方*3  沙发旁*1  门口鞋柜*1）  
卧室*6</t>
  </si>
  <si>
    <t>https://www.xiaomiyoupin.com/detail?gid=140177&amp;spmref=YouPinPC.$SearchFilter$1.search_list.6.18683976</t>
  </si>
  <si>
    <t>小米米家智能开关</t>
  </si>
  <si>
    <t>厨房*1走廊*2阳台*1（单键）</t>
  </si>
  <si>
    <t>https://www.xiaomiyoupin.com/detail?gid=138454&amp;spmref=YouPinPC.$SearchFilter$1.search_list.1.82640765</t>
  </si>
  <si>
    <t>电力轨道</t>
  </si>
  <si>
    <t>厨房（1.2M 6孔）</t>
  </si>
  <si>
    <t>https://detail.tmall.com/item.htm?spm=a230r.1.14.33.5bd49268u4EV93&amp;id=529812477966&amp;ns=1&amp;abbucket=7&amp;skuId=3157259186921</t>
  </si>
  <si>
    <t>Yeelight 智能调光开关 （86盒版）</t>
  </si>
  <si>
    <t>客厅*1卧室*2</t>
  </si>
  <si>
    <t>https://www.xiaomiyoupin.com/detail?gid=107044&amp;spmref=YouPinPC.$SearchFilter$1.search_list.1.92152508</t>
  </si>
  <si>
    <t>智能家居</t>
  </si>
  <si>
    <t>小米路由器AX3600</t>
  </si>
  <si>
    <t>https://www.xiaomiyoupin.com/detail?gid=118606&amp;spmref=YouPinPC.$SearchFilter$1.search_list.2.91557377</t>
  </si>
  <si>
    <t>小米路由器AX1800</t>
  </si>
  <si>
    <t>https://www.xiaomiyoupin.com/detail?gid=125953&amp;spmref=YouPinPC.$SearchFilter$1.search_list.5.94374411</t>
  </si>
  <si>
    <t>群晖DS220+</t>
  </si>
  <si>
    <t>Redmi小爱触屏音箱 8</t>
  </si>
  <si>
    <t>https://www.xiaomiyoupin.com/detail?gid=120633&amp;spmref=YouPinPC.$SearchFilter$1.search_list.10.68661011</t>
  </si>
  <si>
    <t>小米小爱音箱 Play</t>
  </si>
  <si>
    <t>https://www.xiaomiyoupin.com/detail?gid=108117&amp;spmref=YouPinPC.$SearchFilter$1.search_list.1.7727539</t>
  </si>
  <si>
    <t>小米小爱触屏音箱</t>
  </si>
  <si>
    <t>https://www.xiaomiyoupin.com/detail?gid=105569&amp;spmref=YouPinPC.$SearchFilter$1.search_list.2.82926633</t>
  </si>
  <si>
    <t>小米智能多模网关</t>
  </si>
  <si>
    <t>https://www.xiaomiyoupin.com/detail?gid=117249&amp;spmref=YouPinPC.$SearchFilter$1.search_list.1.34473844</t>
  </si>
  <si>
    <t>小米米家蓝牙温湿度计 2</t>
  </si>
  <si>
    <t>客厅*1 卧室*2 卫生间*1</t>
  </si>
  <si>
    <t>https://www.xiaomiyoupin.com/detail?gid=116724&amp;spmref=YouPinPC.$SearchFilter$1.search_list.11.86265558</t>
  </si>
  <si>
    <t>小米人体传感器2</t>
  </si>
  <si>
    <t>https://www.xiaomiyoupin.com/detail?gid=139300&amp;spmref=YouPinPC.$SearchFilter$1.search_list.4.78515874</t>
  </si>
  <si>
    <t>米家光照传感器</t>
  </si>
  <si>
    <t>https://www.xiaomiyoupin.com/detail?gid=117275&amp;spmref=YouPinPC.$SearchFilter$1.search_list.7.98403755</t>
  </si>
  <si>
    <t>门窗传感器2</t>
  </si>
  <si>
    <t>厨房*1  客厅*1 阳台*2（门窗） 卧室*2  衣柜*2</t>
  </si>
  <si>
    <t>https://www.xiaomiyoupin.com/detail?gid=101464&amp;spmref=YouPinPC.$SearchFilter$1.search_list.3.57662123</t>
  </si>
  <si>
    <t>天然气报警器</t>
  </si>
  <si>
    <t>https://www.xiaomiyoupin.com/detail?gid=101409&amp;spmref=YouPinPC.$SearchFilter$1.search_list.4.16251800</t>
  </si>
  <si>
    <t>烟雾警报器</t>
  </si>
  <si>
    <t>https://www.xiaomiyoupin.com/detail?gid=101412&amp;spmref=YouPinPC.$SearchFilter$1.search_list.8.38282190</t>
  </si>
  <si>
    <t>米家智能窗帘</t>
  </si>
  <si>
    <t>窗帘电机+导轨+安装服务</t>
  </si>
  <si>
    <t>https://www.xiaomiyoupin.com/detail?gid=132927&amp;spmref=YouPinPC.$SearchFilter$1.search_list.1.36815350</t>
  </si>
  <si>
    <t>米家空调伴侣2</t>
  </si>
  <si>
    <t>https://www.xiaomiyoupin.com/detail?gid=106616&amp;spmref=YouPinPC.$SearchFilter$1.search_list.1.34177316</t>
  </si>
  <si>
    <t>总计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</si>
</sst>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7" formatCode="&quot;￥&quot;#,##0.00;&quot;￥&quot;\-#,##0.00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2"/>
      <color theme="1"/>
      <name val="宋体"/>
      <charset val="134"/>
      <scheme val="minor"/>
    </font>
    <font>
      <sz val="12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7" fillId="24" borderId="9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6" fillId="15" borderId="9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9" fillId="16" borderId="7" applyNumberFormat="0" applyAlignment="0" applyProtection="0">
      <alignment vertical="center"/>
    </xf>
    <xf numFmtId="0" fontId="8" fillId="15" borderId="6" applyNumberFormat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ont="1" applyFill="1">
      <alignment vertical="center"/>
    </xf>
    <xf numFmtId="7" fontId="0" fillId="0" borderId="0" xfId="0" applyNumberFormat="1" applyFont="1" applyFill="1">
      <alignment vertical="center"/>
    </xf>
    <xf numFmtId="7" fontId="0" fillId="0" borderId="0" xfId="0" applyNumberFormat="1" applyFont="1" applyFill="1" applyProtection="1">
      <alignment vertical="center"/>
    </xf>
    <xf numFmtId="0" fontId="0" fillId="2" borderId="1" xfId="0" applyFont="1" applyFill="1" applyBorder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0" fillId="3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7" fontId="0" fillId="2" borderId="1" xfId="0" applyNumberFormat="1" applyFont="1" applyFill="1" applyBorder="1">
      <alignment vertical="center"/>
    </xf>
    <xf numFmtId="7" fontId="0" fillId="2" borderId="1" xfId="0" applyNumberFormat="1" applyFont="1" applyFill="1" applyBorder="1" applyProtection="1">
      <alignment vertical="center"/>
    </xf>
    <xf numFmtId="7" fontId="0" fillId="3" borderId="1" xfId="0" applyNumberFormat="1" applyFont="1" applyFill="1" applyBorder="1" applyAlignment="1">
      <alignment vertical="center"/>
    </xf>
    <xf numFmtId="7" fontId="0" fillId="3" borderId="1" xfId="0" applyNumberFormat="1" applyFont="1" applyFill="1" applyBorder="1" applyAlignment="1" applyProtection="1">
      <alignment vertical="center"/>
    </xf>
    <xf numFmtId="0" fontId="1" fillId="3" borderId="1" xfId="41" applyFont="1" applyFill="1" applyBorder="1">
      <alignment vertical="center"/>
    </xf>
    <xf numFmtId="7" fontId="0" fillId="0" borderId="1" xfId="0" applyNumberFormat="1" applyFont="1" applyFill="1" applyBorder="1">
      <alignment vertical="center"/>
    </xf>
    <xf numFmtId="7" fontId="0" fillId="0" borderId="1" xfId="0" applyNumberFormat="1" applyFont="1" applyFill="1" applyBorder="1" applyAlignment="1" applyProtection="1">
      <alignment vertical="center"/>
    </xf>
    <xf numFmtId="0" fontId="2" fillId="0" borderId="1" xfId="41" applyFont="1" applyFill="1" applyBorder="1">
      <alignment vertical="center"/>
    </xf>
    <xf numFmtId="7" fontId="0" fillId="3" borderId="1" xfId="0" applyNumberFormat="1" applyFont="1" applyFill="1" applyBorder="1">
      <alignment vertical="center"/>
    </xf>
    <xf numFmtId="0" fontId="2" fillId="3" borderId="1" xfId="41" applyFont="1" applyFill="1" applyBorder="1">
      <alignment vertical="center"/>
    </xf>
    <xf numFmtId="0" fontId="0" fillId="3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/>
    </xf>
    <xf numFmtId="7" fontId="0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id=593028039732&amp;price=39-188&amp;original_price=80-436&amp;sourceType=item&amp;sourceType=item&amp;suid=e79d86f5-7c8e-46be-9fda-778b61054d5e&amp;shareUniqueId=7790585142&amp;ut_sk=1.XCwCMwk8jjwDAEGvvZy5Lveg_21646297_1613630634407.Copy.1&amp;un=718dd11419ff10cc6eabd07a58355624&amp;share_crt_v=1&amp;spm=a2159r.13376460.0.0&amp;sp_tk=cUJVRGN4ZjZsbG4=&amp;cpp=1&amp;shareurl=true&amp;short_name=h.4kzopq7&amp;bxsign=scdQb1KsAV1P6jKP_N3azig_gyp9wyfJ5YSgu5aWm6ibl9HDGzPtj71SByVbDCmyFkmHnrOJNbUYdiPHQIUJJVaSnxQP9zobHX8zF7w1Rjcxxc&amp;sm=711516&amp;app=chrome" TargetMode="External"/><Relationship Id="rId8" Type="http://schemas.openxmlformats.org/officeDocument/2006/relationships/hyperlink" Target="https://detail.tmall.com/item.htm?spm=a230r.1.14.127.6e44622fiTCBq2&amp;id=25876644822&amp;ns=1&amp;abbucket=16&amp;skuId=35977245669" TargetMode="External"/><Relationship Id="rId7" Type="http://schemas.openxmlformats.org/officeDocument/2006/relationships/hyperlink" Target="https://www.xiaomiyoupin.com/detail?gid=140177&amp;spmref=YouPinPC.$SearchFilter$1.search_list.6.18683976" TargetMode="External"/><Relationship Id="rId6" Type="http://schemas.openxmlformats.org/officeDocument/2006/relationships/hyperlink" Target="https://detail.tmall.com/item.htm?spm=a230r.1.14.33.5bd49268u4EV93&amp;id=529812477966&amp;ns=1&amp;abbucket=7&amp;skuId=3157259186921" TargetMode="External"/><Relationship Id="rId5" Type="http://schemas.openxmlformats.org/officeDocument/2006/relationships/hyperlink" Target="https://www.xiaomiyoupin.com/detail?gid=138454&amp;spmref=YouPinPC.$SearchFilter$1.search_list.1.82640765" TargetMode="External"/><Relationship Id="rId4" Type="http://schemas.openxmlformats.org/officeDocument/2006/relationships/hyperlink" Target="https://www.xiaomiyoupin.com/detail?gid=111293&amp;spmref=YouPinPC.$SearchFilter$1.search_list.4.98115509" TargetMode="External"/><Relationship Id="rId35" Type="http://schemas.openxmlformats.org/officeDocument/2006/relationships/hyperlink" Target="https://www.xiaomiyoupin.com/detail?gid=136389&amp;spmref=YouPinPC.$SearchFilter$1.search_list.2.28598156" TargetMode="External"/><Relationship Id="rId34" Type="http://schemas.openxmlformats.org/officeDocument/2006/relationships/hyperlink" Target="https://item.jd.com/100008168207.html#crumb-wrap" TargetMode="External"/><Relationship Id="rId33" Type="http://schemas.openxmlformats.org/officeDocument/2006/relationships/hyperlink" Target="https://item.jd.com/100006633518.html" TargetMode="External"/><Relationship Id="rId32" Type="http://schemas.openxmlformats.org/officeDocument/2006/relationships/hyperlink" Target="https://www.xiaomiyoupin.com/detail?gid=126117&amp;spmref=YouPinPC.$SearchFilter$1.search_list.2.56548269" TargetMode="External"/><Relationship Id="rId31" Type="http://schemas.openxmlformats.org/officeDocument/2006/relationships/hyperlink" Target="https://www.xiaomiyoupin.com/detail?gid=132927&amp;spmref=YouPinPC.$SearchFilter$1.search_list.1.36815350" TargetMode="External"/><Relationship Id="rId30" Type="http://schemas.openxmlformats.org/officeDocument/2006/relationships/hyperlink" Target="https://www.xiaomiyoupin.com/detail?gid=106616&amp;spmref=YouPinPC.$SearchFilter$1.search_list.1.34177316" TargetMode="External"/><Relationship Id="rId3" Type="http://schemas.openxmlformats.org/officeDocument/2006/relationships/hyperlink" Target="https://www.xiaomiyoupin.com/detail?gid=107044&amp;spmref=YouPinPC.$SearchFilter$1.search_list.1.92152508" TargetMode="External"/><Relationship Id="rId29" Type="http://schemas.openxmlformats.org/officeDocument/2006/relationships/hyperlink" Target="https://www.xiaomiyoupin.com/detail?gid=125953&amp;spmref=YouPinPC.$SearchFilter$1.search_list.5.94374411" TargetMode="External"/><Relationship Id="rId28" Type="http://schemas.openxmlformats.org/officeDocument/2006/relationships/hyperlink" Target="https://www.xiaomiyoupin.com/detail?gid=118606&amp;spmref=YouPinPC.$SearchFilter$1.search_list.2.91557377" TargetMode="External"/><Relationship Id="rId27" Type="http://schemas.openxmlformats.org/officeDocument/2006/relationships/hyperlink" Target="https://www.xiaomiyoupin.com/detail?gid=101412&amp;spmref=YouPinPC.$SearchFilter$1.search_list.8.38282190" TargetMode="External"/><Relationship Id="rId26" Type="http://schemas.openxmlformats.org/officeDocument/2006/relationships/hyperlink" Target="https://www.xiaomiyoupin.com/detail?gid=101409&amp;spmref=YouPinPC.$SearchFilter$1.search_list.4.16251800" TargetMode="External"/><Relationship Id="rId25" Type="http://schemas.openxmlformats.org/officeDocument/2006/relationships/hyperlink" Target="https://www.xiaomiyoupin.com/detail?gid=101464&amp;spmref=YouPinPC.$SearchFilter$1.search_list.3.57662123" TargetMode="External"/><Relationship Id="rId24" Type="http://schemas.openxmlformats.org/officeDocument/2006/relationships/hyperlink" Target="https://www.xiaomiyoupin.com/detail?gid=117275&amp;spmref=YouPinPC.$SearchFilter$1.search_list.7.98403755" TargetMode="External"/><Relationship Id="rId23" Type="http://schemas.openxmlformats.org/officeDocument/2006/relationships/hyperlink" Target="https://www.xiaomiyoupin.com/detail?gid=139300&amp;spmref=YouPinPC.$SearchFilter$1.search_list.4.78515874" TargetMode="External"/><Relationship Id="rId22" Type="http://schemas.openxmlformats.org/officeDocument/2006/relationships/hyperlink" Target="https://www.xiaomiyoupin.com/detail?gid=116724&amp;spmref=YouPinPC.$SearchFilter$1.search_list.11.86265558" TargetMode="External"/><Relationship Id="rId21" Type="http://schemas.openxmlformats.org/officeDocument/2006/relationships/hyperlink" Target="https://www.xiaomiyoupin.com/detail?gid=117249&amp;spmref=YouPinPC.$SearchFilter$1.search_list.1.34473844" TargetMode="External"/><Relationship Id="rId20" Type="http://schemas.openxmlformats.org/officeDocument/2006/relationships/hyperlink" Target="https://www.xiaomiyoupin.com/detail?gid=105569&amp;spmref=YouPinPC.$SearchFilter$1.search_list.2.82926633" TargetMode="External"/><Relationship Id="rId2" Type="http://schemas.openxmlformats.org/officeDocument/2006/relationships/hyperlink" Target="https://www.xiaomiyoupin.com/detail?gid=117795&amp;spmref=YouPinPC.$SearchFilter$1.search_list.1.28886673" TargetMode="External"/><Relationship Id="rId19" Type="http://schemas.openxmlformats.org/officeDocument/2006/relationships/hyperlink" Target="https://www.xiaomiyoupin.com/detail?gid=108117&amp;spmref=YouPinPC.$SearchFilter$1.search_list.1.7727539" TargetMode="External"/><Relationship Id="rId18" Type="http://schemas.openxmlformats.org/officeDocument/2006/relationships/hyperlink" Target="https://www.xiaomiyoupin.com/detail?gid=120633&amp;spmref=YouPinPC.$SearchFilter$1.search_list.10.68661011" TargetMode="External"/><Relationship Id="rId17" Type="http://schemas.openxmlformats.org/officeDocument/2006/relationships/hyperlink" Target="https://www.xiaomiyoupin.com/detail?gid=119960&amp;spmref=YouPinPC.$SearchFilter$1.search_list.2.21706242" TargetMode="External"/><Relationship Id="rId16" Type="http://schemas.openxmlformats.org/officeDocument/2006/relationships/hyperlink" Target="https://www.xiaomiyoupin.com/detail?gid=115357&amp;spmref=YouPinPC.$SearchFilter$1.search_list.2.42933064" TargetMode="External"/><Relationship Id="rId15" Type="http://schemas.openxmlformats.org/officeDocument/2006/relationships/hyperlink" Target="https://www.xiaomiyoupin.com/detail?gid=125026&amp;spmref=YouPinPC.$SearchFilter$1.search_list.1.75195754" TargetMode="External"/><Relationship Id="rId14" Type="http://schemas.openxmlformats.org/officeDocument/2006/relationships/hyperlink" Target="https://product.suning.com/0070088046/11629599146.html?safp=d488778a.13701.productWrap.28&amp;safc=prd.0.0&amp;safpn=10007" TargetMode="External"/><Relationship Id="rId13" Type="http://schemas.openxmlformats.org/officeDocument/2006/relationships/hyperlink" Target="https://product.suning.com/0000000000/12027150633.html?safp=d488778a.13701.productWrap.11&amp;safc=prd.0.0&amp;safpn=10007" TargetMode="External"/><Relationship Id="rId12" Type="http://schemas.openxmlformats.org/officeDocument/2006/relationships/hyperlink" Target="https://www.xiaomiyoupin.com/detail?gid=127787&amp;spmref=YouPinPC.$SearchFilter$1.search_list.4.43183516" TargetMode="External"/><Relationship Id="rId11" Type="http://schemas.openxmlformats.org/officeDocument/2006/relationships/hyperlink" Target="https://www.xiaomiyoupin.com/detail?gid=102620&amp;spmref=YouPinPC.$SearchFilter$1.search_list.4.59283788" TargetMode="External"/><Relationship Id="rId10" Type="http://schemas.openxmlformats.org/officeDocument/2006/relationships/hyperlink" Target="https://www.xiaomiyoupin.com/detail?gid=107408&amp;spmref=YouPinPC.$SearchFilter$1.search_list.3.38724657" TargetMode="External"/><Relationship Id="rId1" Type="http://schemas.openxmlformats.org/officeDocument/2006/relationships/hyperlink" Target="https://www.xiaomiyoupin.com/detail?gid=135822&amp;spmref=YouPinPC.$SearchFilter$1.search_list.2.882865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148"/>
  <sheetViews>
    <sheetView tabSelected="1" topLeftCell="A29" workbookViewId="0">
      <selection activeCell="G39" sqref="G39"/>
    </sheetView>
  </sheetViews>
  <sheetFormatPr defaultColWidth="9.14285714285714" defaultRowHeight="17.6"/>
  <cols>
    <col min="1" max="1" width="10.1428571428571" style="1" customWidth="1"/>
    <col min="2" max="2" width="42.7053571428571" style="1" customWidth="1"/>
    <col min="3" max="3" width="43.4464285714286" style="1" customWidth="1"/>
    <col min="4" max="4" width="5.85714285714286" style="1" customWidth="1"/>
    <col min="5" max="5" width="10.7857142857143" style="2" customWidth="1"/>
    <col min="6" max="6" width="10.7857142857143" style="3" customWidth="1"/>
    <col min="7" max="7" width="108.321428571429" style="1" customWidth="1"/>
    <col min="8" max="8" width="8" style="1" customWidth="1"/>
    <col min="9" max="9" width="5.85714285714286" style="1" customWidth="1"/>
    <col min="10" max="10" width="10.1428571428571" style="1" customWidth="1"/>
    <col min="11" max="16384" width="9.14285714285714" style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10" t="s">
        <v>4</v>
      </c>
      <c r="F1" s="11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5" t="s">
        <v>10</v>
      </c>
      <c r="B2" s="6" t="s">
        <v>11</v>
      </c>
      <c r="C2" s="7"/>
      <c r="D2" s="7">
        <v>1</v>
      </c>
      <c r="E2" s="12">
        <v>1799</v>
      </c>
      <c r="F2" s="13">
        <f>D2*E2</f>
        <v>1799</v>
      </c>
      <c r="G2" s="14" t="s">
        <v>12</v>
      </c>
      <c r="H2" s="7" t="s">
        <v>13</v>
      </c>
      <c r="I2" s="7"/>
      <c r="J2" s="7"/>
    </row>
    <row r="3" spans="1:10">
      <c r="A3" s="5"/>
      <c r="B3" s="6" t="s">
        <v>14</v>
      </c>
      <c r="C3" s="7"/>
      <c r="D3" s="7">
        <v>1</v>
      </c>
      <c r="E3" s="12">
        <v>499</v>
      </c>
      <c r="F3" s="13">
        <f>D3*E3</f>
        <v>499</v>
      </c>
      <c r="G3" s="6" t="s">
        <v>15</v>
      </c>
      <c r="H3" s="7" t="s">
        <v>13</v>
      </c>
      <c r="I3" s="7"/>
      <c r="J3" s="7"/>
    </row>
    <row r="4" spans="1:10">
      <c r="A4" s="8" t="s">
        <v>16</v>
      </c>
      <c r="B4" s="9" t="s">
        <v>17</v>
      </c>
      <c r="C4" s="9"/>
      <c r="D4" s="9">
        <v>1</v>
      </c>
      <c r="E4" s="15">
        <v>3488</v>
      </c>
      <c r="F4" s="16">
        <f>D4*E4</f>
        <v>3488</v>
      </c>
      <c r="G4" s="17" t="s">
        <v>18</v>
      </c>
      <c r="H4" s="9"/>
      <c r="I4" s="9"/>
      <c r="J4" s="9"/>
    </row>
    <row r="5" spans="1:10">
      <c r="A5" s="8"/>
      <c r="B5" s="9" t="s">
        <v>19</v>
      </c>
      <c r="C5" s="9"/>
      <c r="D5" s="9">
        <v>1</v>
      </c>
      <c r="E5" s="15">
        <v>2399</v>
      </c>
      <c r="F5" s="16">
        <f>D5*E5</f>
        <v>2399</v>
      </c>
      <c r="G5" s="17" t="s">
        <v>20</v>
      </c>
      <c r="H5" s="9"/>
      <c r="I5" s="9"/>
      <c r="J5" s="9"/>
    </row>
    <row r="6" spans="1:10">
      <c r="A6" s="8"/>
      <c r="B6" s="9" t="s">
        <v>21</v>
      </c>
      <c r="C6" s="9"/>
      <c r="D6" s="9"/>
      <c r="E6" s="15"/>
      <c r="F6" s="16">
        <f t="shared" ref="F6:F29" si="0">D6*E6</f>
        <v>0</v>
      </c>
      <c r="G6" s="9"/>
      <c r="H6" s="9"/>
      <c r="I6" s="9"/>
      <c r="J6" s="9"/>
    </row>
    <row r="7" spans="1:10">
      <c r="A7" s="8"/>
      <c r="B7" s="9" t="s">
        <v>22</v>
      </c>
      <c r="C7" s="9"/>
      <c r="D7" s="9"/>
      <c r="E7" s="15"/>
      <c r="F7" s="16">
        <f t="shared" si="0"/>
        <v>0</v>
      </c>
      <c r="G7" s="9"/>
      <c r="H7" s="9"/>
      <c r="I7" s="9"/>
      <c r="J7" s="9"/>
    </row>
    <row r="8" spans="1:10">
      <c r="A8" s="8"/>
      <c r="B8" s="9" t="s">
        <v>23</v>
      </c>
      <c r="C8" s="9"/>
      <c r="D8" s="9"/>
      <c r="E8" s="15"/>
      <c r="F8" s="16">
        <f t="shared" si="0"/>
        <v>0</v>
      </c>
      <c r="G8" s="9"/>
      <c r="H8" s="9"/>
      <c r="I8" s="9"/>
      <c r="J8" s="9"/>
    </row>
    <row r="9" spans="1:10">
      <c r="A9" s="8"/>
      <c r="B9" s="9" t="s">
        <v>24</v>
      </c>
      <c r="C9" s="9"/>
      <c r="D9" s="9"/>
      <c r="E9" s="15"/>
      <c r="F9" s="16">
        <f t="shared" si="0"/>
        <v>0</v>
      </c>
      <c r="G9" s="9"/>
      <c r="H9" s="9"/>
      <c r="I9" s="9"/>
      <c r="J9" s="9"/>
    </row>
    <row r="10" spans="1:10">
      <c r="A10" s="8"/>
      <c r="B10" s="9" t="s">
        <v>25</v>
      </c>
      <c r="C10" s="9"/>
      <c r="D10" s="9"/>
      <c r="E10" s="15"/>
      <c r="F10" s="16">
        <f t="shared" si="0"/>
        <v>0</v>
      </c>
      <c r="G10" s="9"/>
      <c r="H10" s="9"/>
      <c r="I10" s="9"/>
      <c r="J10" s="9"/>
    </row>
    <row r="11" spans="1:10">
      <c r="A11" s="8"/>
      <c r="B11" s="9" t="s">
        <v>26</v>
      </c>
      <c r="C11" s="9"/>
      <c r="D11" s="9">
        <v>1</v>
      </c>
      <c r="E11" s="15">
        <v>1749</v>
      </c>
      <c r="F11" s="16">
        <f t="shared" si="0"/>
        <v>1749</v>
      </c>
      <c r="G11" s="17" t="s">
        <v>27</v>
      </c>
      <c r="H11" s="9"/>
      <c r="I11" s="9"/>
      <c r="J11" s="9"/>
    </row>
    <row r="12" spans="1:10">
      <c r="A12" s="8"/>
      <c r="B12" s="9"/>
      <c r="C12" s="9"/>
      <c r="D12" s="9"/>
      <c r="E12" s="15"/>
      <c r="F12" s="16">
        <f t="shared" si="0"/>
        <v>0</v>
      </c>
      <c r="G12" s="9"/>
      <c r="H12" s="9"/>
      <c r="I12" s="9"/>
      <c r="J12" s="9"/>
    </row>
    <row r="13" spans="1:10">
      <c r="A13" s="8"/>
      <c r="B13" s="9"/>
      <c r="C13" s="9"/>
      <c r="D13" s="9"/>
      <c r="E13" s="15"/>
      <c r="F13" s="16">
        <f t="shared" si="0"/>
        <v>0</v>
      </c>
      <c r="G13" s="9"/>
      <c r="H13" s="9"/>
      <c r="I13" s="9"/>
      <c r="J13" s="9"/>
    </row>
    <row r="14" spans="1:10">
      <c r="A14" s="8"/>
      <c r="B14" s="9"/>
      <c r="C14" s="9"/>
      <c r="D14" s="9"/>
      <c r="E14" s="15"/>
      <c r="F14" s="16">
        <f t="shared" si="0"/>
        <v>0</v>
      </c>
      <c r="G14" s="9"/>
      <c r="H14" s="9"/>
      <c r="I14" s="9"/>
      <c r="J14" s="9"/>
    </row>
    <row r="15" spans="1:10">
      <c r="A15" s="8"/>
      <c r="B15" s="9"/>
      <c r="C15" s="9"/>
      <c r="D15" s="9"/>
      <c r="E15" s="15"/>
      <c r="F15" s="16">
        <f t="shared" si="0"/>
        <v>0</v>
      </c>
      <c r="G15" s="9"/>
      <c r="H15" s="9"/>
      <c r="I15" s="9"/>
      <c r="J15" s="9"/>
    </row>
    <row r="16" spans="1:10">
      <c r="A16" s="8"/>
      <c r="B16" s="9"/>
      <c r="C16" s="9"/>
      <c r="D16" s="9"/>
      <c r="E16" s="15"/>
      <c r="F16" s="16">
        <f t="shared" si="0"/>
        <v>0</v>
      </c>
      <c r="G16" s="9"/>
      <c r="H16" s="9"/>
      <c r="I16" s="9"/>
      <c r="J16" s="9"/>
    </row>
    <row r="17" spans="1:10">
      <c r="A17" s="5" t="s">
        <v>28</v>
      </c>
      <c r="B17" s="7" t="s">
        <v>29</v>
      </c>
      <c r="C17" s="7"/>
      <c r="D17" s="7">
        <v>1</v>
      </c>
      <c r="E17" s="18">
        <v>2999</v>
      </c>
      <c r="F17" s="13">
        <f t="shared" si="0"/>
        <v>2999</v>
      </c>
      <c r="G17" s="7"/>
      <c r="H17" s="7"/>
      <c r="I17" s="7"/>
      <c r="J17" s="7"/>
    </row>
    <row r="18" spans="1:10">
      <c r="A18" s="5"/>
      <c r="B18" s="7" t="s">
        <v>30</v>
      </c>
      <c r="C18" s="7"/>
      <c r="D18" s="7"/>
      <c r="E18" s="18"/>
      <c r="F18" s="13">
        <f t="shared" si="0"/>
        <v>0</v>
      </c>
      <c r="G18" s="7"/>
      <c r="H18" s="7"/>
      <c r="I18" s="7"/>
      <c r="J18" s="7"/>
    </row>
    <row r="19" spans="1:10">
      <c r="A19" s="5"/>
      <c r="B19" s="7" t="s">
        <v>31</v>
      </c>
      <c r="C19" s="7"/>
      <c r="D19" s="7">
        <v>1</v>
      </c>
      <c r="E19" s="18">
        <v>2499</v>
      </c>
      <c r="F19" s="13">
        <f t="shared" si="0"/>
        <v>2499</v>
      </c>
      <c r="G19" s="19" t="s">
        <v>32</v>
      </c>
      <c r="H19" s="7"/>
      <c r="I19" s="7"/>
      <c r="J19" s="7"/>
    </row>
    <row r="20" spans="1:10">
      <c r="A20" s="5"/>
      <c r="B20" s="7" t="s">
        <v>33</v>
      </c>
      <c r="C20" s="7"/>
      <c r="D20" s="7">
        <v>1</v>
      </c>
      <c r="E20" s="18">
        <v>2249</v>
      </c>
      <c r="F20" s="13">
        <f t="shared" si="0"/>
        <v>2249</v>
      </c>
      <c r="G20" s="7"/>
      <c r="H20" s="7"/>
      <c r="I20" s="7"/>
      <c r="J20" s="7"/>
    </row>
    <row r="21" spans="1:10">
      <c r="A21" s="5"/>
      <c r="B21" s="7" t="s">
        <v>34</v>
      </c>
      <c r="C21" s="7"/>
      <c r="D21" s="7">
        <v>1</v>
      </c>
      <c r="E21" s="18">
        <v>1599</v>
      </c>
      <c r="F21" s="13">
        <f t="shared" si="0"/>
        <v>1599</v>
      </c>
      <c r="G21" s="19" t="s">
        <v>35</v>
      </c>
      <c r="H21" s="7"/>
      <c r="I21" s="7"/>
      <c r="J21" s="7"/>
    </row>
    <row r="22" spans="1:10">
      <c r="A22" s="5"/>
      <c r="B22" s="7" t="s">
        <v>36</v>
      </c>
      <c r="C22" s="7"/>
      <c r="D22" s="7"/>
      <c r="E22" s="18"/>
      <c r="F22" s="13">
        <f t="shared" si="0"/>
        <v>0</v>
      </c>
      <c r="G22" s="7"/>
      <c r="H22" s="7"/>
      <c r="I22" s="7"/>
      <c r="J22" s="7"/>
    </row>
    <row r="23" spans="1:10">
      <c r="A23" s="5"/>
      <c r="B23" s="7"/>
      <c r="C23" s="7"/>
      <c r="D23" s="7"/>
      <c r="E23" s="18"/>
      <c r="F23" s="13">
        <f t="shared" si="0"/>
        <v>0</v>
      </c>
      <c r="G23" s="7"/>
      <c r="H23" s="7"/>
      <c r="I23" s="7"/>
      <c r="J23" s="7"/>
    </row>
    <row r="24" spans="1:10">
      <c r="A24" s="5"/>
      <c r="B24" s="7"/>
      <c r="C24" s="7"/>
      <c r="D24" s="7"/>
      <c r="E24" s="18"/>
      <c r="F24" s="13">
        <f t="shared" si="0"/>
        <v>0</v>
      </c>
      <c r="G24" s="7"/>
      <c r="H24" s="7"/>
      <c r="I24" s="7"/>
      <c r="J24" s="7"/>
    </row>
    <row r="25" spans="1:10">
      <c r="A25" s="5"/>
      <c r="B25" s="7"/>
      <c r="C25" s="7"/>
      <c r="D25" s="7"/>
      <c r="E25" s="18"/>
      <c r="F25" s="13">
        <f t="shared" si="0"/>
        <v>0</v>
      </c>
      <c r="G25" s="7"/>
      <c r="H25" s="7"/>
      <c r="I25" s="7"/>
      <c r="J25" s="7"/>
    </row>
    <row r="26" spans="1:10">
      <c r="A26" s="5"/>
      <c r="B26" s="7"/>
      <c r="C26" s="7"/>
      <c r="D26" s="7"/>
      <c r="E26" s="18"/>
      <c r="F26" s="13">
        <f t="shared" si="0"/>
        <v>0</v>
      </c>
      <c r="G26" s="7"/>
      <c r="H26" s="7"/>
      <c r="I26" s="7"/>
      <c r="J26" s="7"/>
    </row>
    <row r="27" spans="1:10">
      <c r="A27" s="5"/>
      <c r="B27" s="7"/>
      <c r="C27" s="7"/>
      <c r="D27" s="7"/>
      <c r="E27" s="18"/>
      <c r="F27" s="13">
        <f t="shared" si="0"/>
        <v>0</v>
      </c>
      <c r="G27" s="7"/>
      <c r="H27" s="7"/>
      <c r="I27" s="7"/>
      <c r="J27" s="7"/>
    </row>
    <row r="28" spans="1:10">
      <c r="A28" s="5"/>
      <c r="B28" s="7"/>
      <c r="C28" s="7"/>
      <c r="D28" s="7"/>
      <c r="E28" s="18"/>
      <c r="F28" s="13">
        <f t="shared" si="0"/>
        <v>0</v>
      </c>
      <c r="G28" s="7"/>
      <c r="H28" s="7"/>
      <c r="I28" s="7"/>
      <c r="J28" s="7"/>
    </row>
    <row r="29" spans="1:10">
      <c r="A29" s="8" t="s">
        <v>37</v>
      </c>
      <c r="B29" s="9" t="s">
        <v>38</v>
      </c>
      <c r="C29" s="9"/>
      <c r="D29" s="9">
        <v>1</v>
      </c>
      <c r="E29" s="15">
        <v>2399</v>
      </c>
      <c r="F29" s="16">
        <f t="shared" si="0"/>
        <v>2399</v>
      </c>
      <c r="G29" s="17" t="s">
        <v>39</v>
      </c>
      <c r="H29" s="9"/>
      <c r="I29" s="9"/>
      <c r="J29" s="9"/>
    </row>
    <row r="30" spans="1:10">
      <c r="A30" s="8"/>
      <c r="B30" s="9" t="s">
        <v>40</v>
      </c>
      <c r="C30" s="9"/>
      <c r="D30" s="9"/>
      <c r="E30" s="15"/>
      <c r="F30" s="16">
        <f t="shared" ref="F30:F61" si="1">D30*E30</f>
        <v>0</v>
      </c>
      <c r="G30" s="9"/>
      <c r="H30" s="9"/>
      <c r="I30" s="9"/>
      <c r="J30" s="9"/>
    </row>
    <row r="31" spans="1:10">
      <c r="A31" s="8"/>
      <c r="B31" s="9" t="s">
        <v>41</v>
      </c>
      <c r="C31" s="9"/>
      <c r="D31" s="9"/>
      <c r="E31" s="15"/>
      <c r="F31" s="16">
        <f t="shared" si="1"/>
        <v>0</v>
      </c>
      <c r="G31" s="9"/>
      <c r="H31" s="9"/>
      <c r="I31" s="9"/>
      <c r="J31" s="9"/>
    </row>
    <row r="32" spans="1:10">
      <c r="A32" s="8"/>
      <c r="B32" s="9" t="s">
        <v>42</v>
      </c>
      <c r="C32" s="9"/>
      <c r="D32" s="9">
        <v>1</v>
      </c>
      <c r="E32" s="15">
        <v>289</v>
      </c>
      <c r="F32" s="16">
        <f t="shared" si="1"/>
        <v>289</v>
      </c>
      <c r="G32" s="17" t="s">
        <v>43</v>
      </c>
      <c r="H32" s="9"/>
      <c r="I32" s="9"/>
      <c r="J32" s="9"/>
    </row>
    <row r="33" spans="1:10">
      <c r="A33" s="8"/>
      <c r="B33" s="9" t="s">
        <v>44</v>
      </c>
      <c r="C33" s="9"/>
      <c r="D33" s="9">
        <v>1</v>
      </c>
      <c r="E33" s="15">
        <v>699</v>
      </c>
      <c r="F33" s="16">
        <f t="shared" si="1"/>
        <v>699</v>
      </c>
      <c r="G33" s="17" t="s">
        <v>45</v>
      </c>
      <c r="H33" s="9"/>
      <c r="I33" s="9"/>
      <c r="J33" s="9"/>
    </row>
    <row r="34" spans="1:10">
      <c r="A34" s="8"/>
      <c r="B34" s="9"/>
      <c r="C34" s="9"/>
      <c r="D34" s="9"/>
      <c r="E34" s="15"/>
      <c r="F34" s="16">
        <f t="shared" si="1"/>
        <v>0</v>
      </c>
      <c r="G34" s="9"/>
      <c r="H34" s="9"/>
      <c r="I34" s="9"/>
      <c r="J34" s="9"/>
    </row>
    <row r="35" spans="1:10">
      <c r="A35" s="8"/>
      <c r="B35" s="9"/>
      <c r="C35" s="9"/>
      <c r="D35" s="9"/>
      <c r="E35" s="15"/>
      <c r="F35" s="16">
        <f t="shared" si="1"/>
        <v>0</v>
      </c>
      <c r="G35" s="9"/>
      <c r="H35" s="9"/>
      <c r="I35" s="9"/>
      <c r="J35" s="9"/>
    </row>
    <row r="36" spans="1:10">
      <c r="A36" s="8"/>
      <c r="B36" s="9"/>
      <c r="C36" s="9"/>
      <c r="D36" s="9"/>
      <c r="E36" s="15"/>
      <c r="F36" s="16">
        <f t="shared" si="1"/>
        <v>0</v>
      </c>
      <c r="G36" s="9"/>
      <c r="H36" s="9"/>
      <c r="I36" s="9"/>
      <c r="J36" s="9"/>
    </row>
    <row r="37" spans="1:10">
      <c r="A37" s="8"/>
      <c r="B37" s="9"/>
      <c r="C37" s="9"/>
      <c r="D37" s="9"/>
      <c r="E37" s="15"/>
      <c r="F37" s="16">
        <f t="shared" si="1"/>
        <v>0</v>
      </c>
      <c r="G37" s="9"/>
      <c r="H37" s="9"/>
      <c r="I37" s="9"/>
      <c r="J37" s="9"/>
    </row>
    <row r="38" spans="1:10">
      <c r="A38" s="8"/>
      <c r="B38" s="9"/>
      <c r="C38" s="9"/>
      <c r="D38" s="9"/>
      <c r="E38" s="15"/>
      <c r="F38" s="16">
        <f t="shared" si="1"/>
        <v>0</v>
      </c>
      <c r="G38" s="9"/>
      <c r="H38" s="9"/>
      <c r="I38" s="9"/>
      <c r="J38" s="9"/>
    </row>
    <row r="39" spans="1:10">
      <c r="A39" s="8"/>
      <c r="B39" s="9"/>
      <c r="C39" s="9"/>
      <c r="D39" s="9"/>
      <c r="E39" s="15"/>
      <c r="F39" s="16">
        <f t="shared" si="1"/>
        <v>0</v>
      </c>
      <c r="G39" s="9"/>
      <c r="H39" s="9"/>
      <c r="I39" s="9"/>
      <c r="J39" s="9"/>
    </row>
    <row r="40" spans="1:10">
      <c r="A40" s="8"/>
      <c r="B40" s="9"/>
      <c r="C40" s="9"/>
      <c r="D40" s="9"/>
      <c r="E40" s="15"/>
      <c r="F40" s="16">
        <f t="shared" si="1"/>
        <v>0</v>
      </c>
      <c r="G40" s="9"/>
      <c r="H40" s="9"/>
      <c r="I40" s="9"/>
      <c r="J40" s="9"/>
    </row>
    <row r="41" spans="1:10">
      <c r="A41" s="8"/>
      <c r="B41" s="9"/>
      <c r="C41" s="9"/>
      <c r="D41" s="9"/>
      <c r="E41" s="15"/>
      <c r="F41" s="16">
        <f t="shared" si="1"/>
        <v>0</v>
      </c>
      <c r="G41" s="9"/>
      <c r="H41" s="9"/>
      <c r="I41" s="9"/>
      <c r="J41" s="9"/>
    </row>
    <row r="42" spans="1:10">
      <c r="A42" s="5" t="s">
        <v>46</v>
      </c>
      <c r="B42" s="7" t="s">
        <v>47</v>
      </c>
      <c r="C42" s="7"/>
      <c r="D42" s="7">
        <v>1</v>
      </c>
      <c r="E42" s="18">
        <v>1799</v>
      </c>
      <c r="F42" s="13">
        <f t="shared" si="1"/>
        <v>1799</v>
      </c>
      <c r="G42" s="19" t="s">
        <v>48</v>
      </c>
      <c r="H42" s="7"/>
      <c r="I42" s="7"/>
      <c r="J42" s="7"/>
    </row>
    <row r="43" spans="1:10">
      <c r="A43" s="5"/>
      <c r="B43" s="7" t="s">
        <v>49</v>
      </c>
      <c r="C43" s="7" t="s">
        <v>50</v>
      </c>
      <c r="D43" s="7">
        <v>1</v>
      </c>
      <c r="E43" s="18">
        <v>799</v>
      </c>
      <c r="F43" s="13">
        <f t="shared" si="1"/>
        <v>799</v>
      </c>
      <c r="G43" s="7" t="s">
        <v>51</v>
      </c>
      <c r="H43" s="7"/>
      <c r="I43" s="7"/>
      <c r="J43" s="7"/>
    </row>
    <row r="44" spans="1:10">
      <c r="A44" s="5"/>
      <c r="B44" s="7" t="s">
        <v>52</v>
      </c>
      <c r="C44" s="7"/>
      <c r="D44" s="7"/>
      <c r="E44" s="18"/>
      <c r="F44" s="13">
        <f t="shared" si="1"/>
        <v>0</v>
      </c>
      <c r="G44" s="7"/>
      <c r="H44" s="7"/>
      <c r="I44" s="7"/>
      <c r="J44" s="7"/>
    </row>
    <row r="45" spans="1:10">
      <c r="A45" s="5"/>
      <c r="B45" s="7" t="s">
        <v>53</v>
      </c>
      <c r="C45" s="7"/>
      <c r="D45" s="7"/>
      <c r="E45" s="18"/>
      <c r="F45" s="13">
        <f t="shared" si="1"/>
        <v>0</v>
      </c>
      <c r="G45" s="7"/>
      <c r="H45" s="7"/>
      <c r="I45" s="7"/>
      <c r="J45" s="7"/>
    </row>
    <row r="46" spans="1:10">
      <c r="A46" s="5"/>
      <c r="B46" s="7" t="s">
        <v>54</v>
      </c>
      <c r="C46" s="7" t="s">
        <v>55</v>
      </c>
      <c r="D46" s="7">
        <v>1</v>
      </c>
      <c r="E46" s="18">
        <v>499</v>
      </c>
      <c r="F46" s="13">
        <f t="shared" si="1"/>
        <v>499</v>
      </c>
      <c r="G46" s="7" t="s">
        <v>51</v>
      </c>
      <c r="H46" s="7"/>
      <c r="I46" s="7"/>
      <c r="J46" s="7"/>
    </row>
    <row r="47" spans="1:10">
      <c r="A47" s="5"/>
      <c r="B47" s="7" t="s">
        <v>56</v>
      </c>
      <c r="C47" s="7"/>
      <c r="D47" s="7"/>
      <c r="E47" s="18"/>
      <c r="F47" s="13">
        <f t="shared" si="1"/>
        <v>0</v>
      </c>
      <c r="G47" s="7"/>
      <c r="H47" s="7"/>
      <c r="I47" s="7"/>
      <c r="J47" s="7"/>
    </row>
    <row r="48" spans="1:10">
      <c r="A48" s="5"/>
      <c r="B48" s="7" t="s">
        <v>57</v>
      </c>
      <c r="C48" s="7"/>
      <c r="D48" s="7"/>
      <c r="E48" s="18"/>
      <c r="F48" s="13">
        <f t="shared" si="1"/>
        <v>0</v>
      </c>
      <c r="G48" s="7"/>
      <c r="H48" s="7"/>
      <c r="I48" s="7"/>
      <c r="J48" s="7"/>
    </row>
    <row r="49" spans="1:10">
      <c r="A49" s="5"/>
      <c r="B49" s="7"/>
      <c r="C49" s="7"/>
      <c r="D49" s="7"/>
      <c r="E49" s="18"/>
      <c r="F49" s="13">
        <f t="shared" si="1"/>
        <v>0</v>
      </c>
      <c r="G49" s="7"/>
      <c r="H49" s="7"/>
      <c r="I49" s="7"/>
      <c r="J49" s="7"/>
    </row>
    <row r="50" spans="1:10">
      <c r="A50" s="5"/>
      <c r="B50" s="7"/>
      <c r="C50" s="7"/>
      <c r="D50" s="7"/>
      <c r="E50" s="18"/>
      <c r="F50" s="13">
        <f t="shared" si="1"/>
        <v>0</v>
      </c>
      <c r="G50" s="7"/>
      <c r="H50" s="7"/>
      <c r="I50" s="7"/>
      <c r="J50" s="7"/>
    </row>
    <row r="51" spans="1:10">
      <c r="A51" s="5"/>
      <c r="B51" s="7"/>
      <c r="C51" s="7"/>
      <c r="D51" s="7"/>
      <c r="E51" s="18"/>
      <c r="F51" s="13">
        <f t="shared" si="1"/>
        <v>0</v>
      </c>
      <c r="G51" s="7"/>
      <c r="H51" s="7"/>
      <c r="I51" s="7"/>
      <c r="J51" s="7"/>
    </row>
    <row r="52" spans="1:10">
      <c r="A52" s="5"/>
      <c r="B52" s="7"/>
      <c r="C52" s="7"/>
      <c r="D52" s="7"/>
      <c r="E52" s="18"/>
      <c r="F52" s="13">
        <f t="shared" si="1"/>
        <v>0</v>
      </c>
      <c r="G52" s="7"/>
      <c r="H52" s="7"/>
      <c r="I52" s="7"/>
      <c r="J52" s="7"/>
    </row>
    <row r="53" spans="1:10">
      <c r="A53" s="5"/>
      <c r="B53" s="7"/>
      <c r="C53" s="7"/>
      <c r="D53" s="7"/>
      <c r="E53" s="18"/>
      <c r="F53" s="13">
        <f t="shared" si="1"/>
        <v>0</v>
      </c>
      <c r="G53" s="7"/>
      <c r="H53" s="7"/>
      <c r="I53" s="7"/>
      <c r="J53" s="7"/>
    </row>
    <row r="54" spans="1:10">
      <c r="A54" s="5"/>
      <c r="B54" s="7"/>
      <c r="C54" s="7"/>
      <c r="D54" s="7"/>
      <c r="E54" s="18"/>
      <c r="F54" s="13">
        <f t="shared" si="1"/>
        <v>0</v>
      </c>
      <c r="G54" s="7"/>
      <c r="H54" s="7"/>
      <c r="I54" s="7"/>
      <c r="J54" s="7"/>
    </row>
    <row r="55" spans="1:10">
      <c r="A55" s="5"/>
      <c r="B55" s="7"/>
      <c r="C55" s="7"/>
      <c r="D55" s="7"/>
      <c r="E55" s="18"/>
      <c r="F55" s="13">
        <f t="shared" si="1"/>
        <v>0</v>
      </c>
      <c r="G55" s="7"/>
      <c r="H55" s="7"/>
      <c r="I55" s="7"/>
      <c r="J55" s="7"/>
    </row>
    <row r="56" spans="1:10">
      <c r="A56" s="5"/>
      <c r="B56" s="7"/>
      <c r="C56" s="7"/>
      <c r="D56" s="7"/>
      <c r="E56" s="18"/>
      <c r="F56" s="13">
        <f t="shared" si="1"/>
        <v>0</v>
      </c>
      <c r="G56" s="7"/>
      <c r="H56" s="7"/>
      <c r="I56" s="7"/>
      <c r="J56" s="7"/>
    </row>
    <row r="57" spans="1:10">
      <c r="A57" s="5"/>
      <c r="B57" s="7"/>
      <c r="C57" s="7"/>
      <c r="D57" s="7"/>
      <c r="E57" s="18"/>
      <c r="F57" s="13">
        <f t="shared" si="1"/>
        <v>0</v>
      </c>
      <c r="G57" s="7"/>
      <c r="H57" s="7"/>
      <c r="I57" s="7"/>
      <c r="J57" s="7"/>
    </row>
    <row r="58" spans="1:10">
      <c r="A58" s="8" t="s">
        <v>58</v>
      </c>
      <c r="B58" s="9" t="s">
        <v>56</v>
      </c>
      <c r="C58" s="9"/>
      <c r="D58" s="9"/>
      <c r="E58" s="15"/>
      <c r="F58" s="16">
        <f t="shared" si="1"/>
        <v>0</v>
      </c>
      <c r="G58" s="9"/>
      <c r="H58" s="9"/>
      <c r="I58" s="9"/>
      <c r="J58" s="9"/>
    </row>
    <row r="59" spans="1:10">
      <c r="A59" s="8"/>
      <c r="B59" s="9" t="s">
        <v>59</v>
      </c>
      <c r="C59" s="9"/>
      <c r="D59" s="9"/>
      <c r="E59" s="15"/>
      <c r="F59" s="16">
        <f t="shared" si="1"/>
        <v>0</v>
      </c>
      <c r="G59" s="9"/>
      <c r="H59" s="9"/>
      <c r="I59" s="9"/>
      <c r="J59" s="9"/>
    </row>
    <row r="60" spans="1:10">
      <c r="A60" s="8"/>
      <c r="B60" s="9" t="s">
        <v>47</v>
      </c>
      <c r="C60" s="9"/>
      <c r="D60" s="9">
        <v>1</v>
      </c>
      <c r="E60" s="15">
        <v>1799</v>
      </c>
      <c r="F60" s="16">
        <f t="shared" si="1"/>
        <v>1799</v>
      </c>
      <c r="G60" s="17" t="s">
        <v>48</v>
      </c>
      <c r="H60" s="9"/>
      <c r="I60" s="9"/>
      <c r="J60" s="9"/>
    </row>
    <row r="61" spans="1:10">
      <c r="A61" s="8"/>
      <c r="B61" s="9"/>
      <c r="C61" s="9"/>
      <c r="D61" s="9"/>
      <c r="E61" s="15"/>
      <c r="F61" s="16">
        <f t="shared" si="1"/>
        <v>0</v>
      </c>
      <c r="G61" s="9"/>
      <c r="H61" s="9"/>
      <c r="I61" s="9"/>
      <c r="J61" s="9"/>
    </row>
    <row r="62" spans="1:10">
      <c r="A62" s="8"/>
      <c r="B62" s="9"/>
      <c r="C62" s="9"/>
      <c r="D62" s="9"/>
      <c r="E62" s="15"/>
      <c r="F62" s="16">
        <f t="shared" ref="F62:F93" si="2">D62*E62</f>
        <v>0</v>
      </c>
      <c r="G62" s="9"/>
      <c r="H62" s="9"/>
      <c r="I62" s="9"/>
      <c r="J62" s="9"/>
    </row>
    <row r="63" spans="1:10">
      <c r="A63" s="8"/>
      <c r="B63" s="9"/>
      <c r="C63" s="9"/>
      <c r="D63" s="9"/>
      <c r="E63" s="15"/>
      <c r="F63" s="16">
        <f t="shared" si="2"/>
        <v>0</v>
      </c>
      <c r="G63" s="9"/>
      <c r="H63" s="9"/>
      <c r="I63" s="9"/>
      <c r="J63" s="9"/>
    </row>
    <row r="64" spans="1:10">
      <c r="A64" s="8"/>
      <c r="B64" s="9"/>
      <c r="C64" s="9"/>
      <c r="D64" s="9"/>
      <c r="E64" s="15"/>
      <c r="F64" s="16">
        <f t="shared" si="2"/>
        <v>0</v>
      </c>
      <c r="G64" s="9"/>
      <c r="H64" s="9"/>
      <c r="I64" s="9"/>
      <c r="J64" s="9"/>
    </row>
    <row r="65" spans="1:10">
      <c r="A65" s="8"/>
      <c r="B65" s="9"/>
      <c r="C65" s="9"/>
      <c r="D65" s="9"/>
      <c r="E65" s="15"/>
      <c r="F65" s="16">
        <f t="shared" si="2"/>
        <v>0</v>
      </c>
      <c r="G65" s="9"/>
      <c r="H65" s="9"/>
      <c r="I65" s="9"/>
      <c r="J65" s="9"/>
    </row>
    <row r="66" spans="1:10">
      <c r="A66" s="8"/>
      <c r="B66" s="9"/>
      <c r="C66" s="9"/>
      <c r="D66" s="9"/>
      <c r="E66" s="15"/>
      <c r="F66" s="16">
        <f t="shared" si="2"/>
        <v>0</v>
      </c>
      <c r="G66" s="9"/>
      <c r="H66" s="9"/>
      <c r="I66" s="9"/>
      <c r="J66" s="9"/>
    </row>
    <row r="67" spans="1:10">
      <c r="A67" s="8"/>
      <c r="B67" s="9"/>
      <c r="C67" s="9"/>
      <c r="D67" s="9"/>
      <c r="E67" s="15"/>
      <c r="F67" s="16">
        <f t="shared" si="2"/>
        <v>0</v>
      </c>
      <c r="G67" s="9"/>
      <c r="H67" s="9"/>
      <c r="I67" s="9"/>
      <c r="J67" s="9"/>
    </row>
    <row r="68" spans="1:10">
      <c r="A68" s="8"/>
      <c r="B68" s="9"/>
      <c r="C68" s="9"/>
      <c r="D68" s="9"/>
      <c r="E68" s="15"/>
      <c r="F68" s="16">
        <f t="shared" si="2"/>
        <v>0</v>
      </c>
      <c r="G68" s="9"/>
      <c r="H68" s="9"/>
      <c r="I68" s="9"/>
      <c r="J68" s="9"/>
    </row>
    <row r="69" spans="1:10">
      <c r="A69" s="8"/>
      <c r="B69" s="9"/>
      <c r="C69" s="9"/>
      <c r="D69" s="9"/>
      <c r="E69" s="15"/>
      <c r="F69" s="16">
        <f t="shared" si="2"/>
        <v>0</v>
      </c>
      <c r="G69" s="9"/>
      <c r="H69" s="9"/>
      <c r="I69" s="9"/>
      <c r="J69" s="9"/>
    </row>
    <row r="70" spans="1:10">
      <c r="A70" s="8"/>
      <c r="B70" s="9"/>
      <c r="C70" s="9"/>
      <c r="D70" s="9"/>
      <c r="E70" s="15"/>
      <c r="F70" s="16">
        <f t="shared" si="2"/>
        <v>0</v>
      </c>
      <c r="G70" s="9"/>
      <c r="H70" s="9"/>
      <c r="I70" s="9"/>
      <c r="J70" s="9"/>
    </row>
    <row r="71" spans="1:10">
      <c r="A71" s="8"/>
      <c r="B71" s="9"/>
      <c r="C71" s="9"/>
      <c r="D71" s="9"/>
      <c r="E71" s="15"/>
      <c r="F71" s="16">
        <f t="shared" si="2"/>
        <v>0</v>
      </c>
      <c r="G71" s="9"/>
      <c r="H71" s="9"/>
      <c r="I71" s="9"/>
      <c r="J71" s="9"/>
    </row>
    <row r="72" spans="1:10">
      <c r="A72" s="8"/>
      <c r="B72" s="9"/>
      <c r="C72" s="9"/>
      <c r="D72" s="9"/>
      <c r="E72" s="15"/>
      <c r="F72" s="16">
        <f t="shared" si="2"/>
        <v>0</v>
      </c>
      <c r="G72" s="9"/>
      <c r="H72" s="9"/>
      <c r="I72" s="9"/>
      <c r="J72" s="9"/>
    </row>
    <row r="73" spans="1:10">
      <c r="A73" s="8"/>
      <c r="B73" s="9"/>
      <c r="C73" s="9"/>
      <c r="D73" s="9"/>
      <c r="E73" s="15"/>
      <c r="F73" s="16">
        <f t="shared" si="2"/>
        <v>0</v>
      </c>
      <c r="G73" s="9"/>
      <c r="H73" s="9"/>
      <c r="I73" s="9"/>
      <c r="J73" s="9"/>
    </row>
    <row r="74" spans="1:10">
      <c r="A74" s="5" t="s">
        <v>60</v>
      </c>
      <c r="B74" s="7" t="s">
        <v>61</v>
      </c>
      <c r="C74" s="7"/>
      <c r="D74" s="7">
        <v>1</v>
      </c>
      <c r="E74" s="18">
        <v>899</v>
      </c>
      <c r="F74" s="13">
        <f t="shared" si="2"/>
        <v>899</v>
      </c>
      <c r="G74" s="19" t="s">
        <v>62</v>
      </c>
      <c r="H74" s="7"/>
      <c r="I74" s="7"/>
      <c r="J74" s="7"/>
    </row>
    <row r="75" spans="1:10">
      <c r="A75" s="5"/>
      <c r="B75" s="7"/>
      <c r="C75" s="7"/>
      <c r="D75" s="7"/>
      <c r="E75" s="18"/>
      <c r="F75" s="13">
        <f t="shared" si="2"/>
        <v>0</v>
      </c>
      <c r="G75" s="7"/>
      <c r="H75" s="7"/>
      <c r="I75" s="7"/>
      <c r="J75" s="7"/>
    </row>
    <row r="76" spans="1:10">
      <c r="A76" s="5"/>
      <c r="B76" s="7"/>
      <c r="C76" s="7"/>
      <c r="D76" s="7"/>
      <c r="E76" s="18"/>
      <c r="F76" s="13">
        <f t="shared" si="2"/>
        <v>0</v>
      </c>
      <c r="G76" s="7"/>
      <c r="H76" s="7"/>
      <c r="I76" s="7"/>
      <c r="J76" s="7"/>
    </row>
    <row r="77" spans="1:10">
      <c r="A77" s="5"/>
      <c r="B77" s="7"/>
      <c r="C77" s="7"/>
      <c r="D77" s="7"/>
      <c r="E77" s="18"/>
      <c r="F77" s="13">
        <f t="shared" si="2"/>
        <v>0</v>
      </c>
      <c r="G77" s="7"/>
      <c r="H77" s="7"/>
      <c r="I77" s="7"/>
      <c r="J77" s="7"/>
    </row>
    <row r="78" spans="1:10">
      <c r="A78" s="5"/>
      <c r="B78" s="7"/>
      <c r="C78" s="7"/>
      <c r="D78" s="7"/>
      <c r="E78" s="18"/>
      <c r="F78" s="13">
        <f t="shared" si="2"/>
        <v>0</v>
      </c>
      <c r="G78" s="7"/>
      <c r="H78" s="7"/>
      <c r="I78" s="7"/>
      <c r="J78" s="7"/>
    </row>
    <row r="79" spans="1:10">
      <c r="A79" s="5"/>
      <c r="B79" s="7"/>
      <c r="C79" s="7"/>
      <c r="D79" s="7"/>
      <c r="E79" s="18"/>
      <c r="F79" s="13">
        <f t="shared" si="2"/>
        <v>0</v>
      </c>
      <c r="G79" s="7"/>
      <c r="H79" s="7"/>
      <c r="I79" s="7"/>
      <c r="J79" s="7"/>
    </row>
    <row r="80" spans="1:10">
      <c r="A80" s="5"/>
      <c r="B80" s="7"/>
      <c r="C80" s="7"/>
      <c r="D80" s="7"/>
      <c r="E80" s="18"/>
      <c r="F80" s="13">
        <f t="shared" si="2"/>
        <v>0</v>
      </c>
      <c r="G80" s="7"/>
      <c r="H80" s="7"/>
      <c r="I80" s="7"/>
      <c r="J80" s="7"/>
    </row>
    <row r="81" spans="1:10">
      <c r="A81" s="5"/>
      <c r="B81" s="7"/>
      <c r="C81" s="7"/>
      <c r="D81" s="7"/>
      <c r="E81" s="18"/>
      <c r="F81" s="13">
        <f t="shared" si="2"/>
        <v>0</v>
      </c>
      <c r="G81" s="7"/>
      <c r="H81" s="7"/>
      <c r="I81" s="7"/>
      <c r="J81" s="7"/>
    </row>
    <row r="82" spans="1:10">
      <c r="A82" s="8" t="s">
        <v>63</v>
      </c>
      <c r="B82" s="9" t="s">
        <v>64</v>
      </c>
      <c r="C82" s="9" t="s">
        <v>65</v>
      </c>
      <c r="D82" s="9">
        <v>1</v>
      </c>
      <c r="E82" s="15">
        <v>1499</v>
      </c>
      <c r="F82" s="16">
        <f t="shared" si="2"/>
        <v>1499</v>
      </c>
      <c r="G82" s="17" t="s">
        <v>66</v>
      </c>
      <c r="H82" s="9"/>
      <c r="I82" s="9"/>
      <c r="J82" s="9"/>
    </row>
    <row r="83" spans="1:10">
      <c r="A83" s="8"/>
      <c r="B83" s="9" t="s">
        <v>67</v>
      </c>
      <c r="C83" s="9" t="s">
        <v>68</v>
      </c>
      <c r="D83" s="9">
        <v>1</v>
      </c>
      <c r="E83" s="15">
        <v>136</v>
      </c>
      <c r="F83" s="16">
        <f t="shared" ref="F83:F113" si="3">D83*E83</f>
        <v>136</v>
      </c>
      <c r="G83" s="17" t="s">
        <v>69</v>
      </c>
      <c r="H83" s="9"/>
      <c r="I83" s="9"/>
      <c r="J83" s="9"/>
    </row>
    <row r="84" spans="1:10">
      <c r="A84" s="8"/>
      <c r="B84" s="9" t="s">
        <v>70</v>
      </c>
      <c r="C84" s="9" t="s">
        <v>71</v>
      </c>
      <c r="D84" s="9">
        <v>2</v>
      </c>
      <c r="E84" s="15">
        <v>49</v>
      </c>
      <c r="F84" s="16">
        <f t="shared" si="3"/>
        <v>98</v>
      </c>
      <c r="G84" s="9"/>
      <c r="H84" s="9"/>
      <c r="I84" s="9"/>
      <c r="J84" s="9"/>
    </row>
    <row r="85" spans="1:10">
      <c r="A85" s="8"/>
      <c r="B85" s="9" t="s">
        <v>72</v>
      </c>
      <c r="C85" s="9" t="s">
        <v>73</v>
      </c>
      <c r="D85" s="9">
        <v>1</v>
      </c>
      <c r="E85" s="15">
        <v>179</v>
      </c>
      <c r="F85" s="16">
        <f t="shared" si="3"/>
        <v>179</v>
      </c>
      <c r="G85" s="17" t="s">
        <v>74</v>
      </c>
      <c r="H85" s="9"/>
      <c r="I85" s="9"/>
      <c r="J85" s="9"/>
    </row>
    <row r="86" spans="1:10">
      <c r="A86" s="8"/>
      <c r="B86" s="9" t="s">
        <v>75</v>
      </c>
      <c r="C86" s="9" t="s">
        <v>76</v>
      </c>
      <c r="D86" s="9">
        <v>1</v>
      </c>
      <c r="E86" s="15">
        <v>95</v>
      </c>
      <c r="F86" s="16">
        <f t="shared" si="3"/>
        <v>95</v>
      </c>
      <c r="G86" s="17" t="s">
        <v>77</v>
      </c>
      <c r="H86" s="9"/>
      <c r="I86" s="9"/>
      <c r="J86" s="9"/>
    </row>
    <row r="87" spans="1:10">
      <c r="A87" s="8"/>
      <c r="B87" s="9"/>
      <c r="C87" s="9"/>
      <c r="D87" s="9"/>
      <c r="E87" s="15"/>
      <c r="F87" s="16">
        <f t="shared" si="3"/>
        <v>0</v>
      </c>
      <c r="G87" s="17"/>
      <c r="H87" s="9"/>
      <c r="I87" s="9"/>
      <c r="J87" s="9"/>
    </row>
    <row r="88" spans="1:10">
      <c r="A88" s="8"/>
      <c r="B88" s="9"/>
      <c r="C88" s="9"/>
      <c r="D88" s="9"/>
      <c r="E88" s="15"/>
      <c r="F88" s="16">
        <f t="shared" si="3"/>
        <v>0</v>
      </c>
      <c r="G88" s="17"/>
      <c r="H88" s="9"/>
      <c r="I88" s="9"/>
      <c r="J88" s="9"/>
    </row>
    <row r="89" spans="1:10">
      <c r="A89" s="8"/>
      <c r="B89" s="9"/>
      <c r="C89" s="9"/>
      <c r="D89" s="9"/>
      <c r="E89" s="15"/>
      <c r="F89" s="16">
        <f t="shared" si="3"/>
        <v>0</v>
      </c>
      <c r="G89" s="17"/>
      <c r="H89" s="9"/>
      <c r="I89" s="9"/>
      <c r="J89" s="9"/>
    </row>
    <row r="90" spans="1:10">
      <c r="A90" s="8"/>
      <c r="B90" s="9"/>
      <c r="C90" s="9"/>
      <c r="D90" s="9"/>
      <c r="E90" s="15"/>
      <c r="F90" s="16">
        <f t="shared" si="3"/>
        <v>0</v>
      </c>
      <c r="G90" s="17"/>
      <c r="H90" s="9"/>
      <c r="I90" s="9"/>
      <c r="J90" s="9"/>
    </row>
    <row r="91" spans="1:10">
      <c r="A91" s="8"/>
      <c r="B91" s="9"/>
      <c r="C91" s="9"/>
      <c r="D91" s="9"/>
      <c r="E91" s="15"/>
      <c r="F91" s="16">
        <f t="shared" si="3"/>
        <v>0</v>
      </c>
      <c r="G91" s="17"/>
      <c r="H91" s="9"/>
      <c r="I91" s="9"/>
      <c r="J91" s="9"/>
    </row>
    <row r="92" spans="1:10">
      <c r="A92" s="8"/>
      <c r="B92" s="9"/>
      <c r="C92" s="9"/>
      <c r="D92" s="9"/>
      <c r="E92" s="15"/>
      <c r="F92" s="16">
        <f t="shared" si="3"/>
        <v>0</v>
      </c>
      <c r="G92" s="17"/>
      <c r="H92" s="9"/>
      <c r="I92" s="9"/>
      <c r="J92" s="9"/>
    </row>
    <row r="93" spans="1:10">
      <c r="A93" s="8"/>
      <c r="B93" s="9"/>
      <c r="C93" s="9"/>
      <c r="D93" s="9"/>
      <c r="E93" s="15"/>
      <c r="F93" s="16">
        <f t="shared" si="3"/>
        <v>0</v>
      </c>
      <c r="G93" s="9"/>
      <c r="H93" s="9"/>
      <c r="I93" s="9"/>
      <c r="J93" s="9"/>
    </row>
    <row r="94" spans="1:10">
      <c r="A94" s="5" t="s">
        <v>78</v>
      </c>
      <c r="B94" s="7" t="s">
        <v>79</v>
      </c>
      <c r="C94" s="7" t="s">
        <v>80</v>
      </c>
      <c r="D94" s="7">
        <v>1</v>
      </c>
      <c r="E94" s="18">
        <v>599</v>
      </c>
      <c r="F94" s="13">
        <f t="shared" si="3"/>
        <v>599</v>
      </c>
      <c r="G94" s="19" t="s">
        <v>81</v>
      </c>
      <c r="H94" s="7"/>
      <c r="I94" s="7"/>
      <c r="J94" s="7"/>
    </row>
    <row r="95" ht="53" spans="1:10">
      <c r="A95" s="5"/>
      <c r="B95" s="7" t="s">
        <v>82</v>
      </c>
      <c r="C95" s="20" t="s">
        <v>83</v>
      </c>
      <c r="D95" s="7">
        <v>14</v>
      </c>
      <c r="E95" s="18">
        <v>59</v>
      </c>
      <c r="F95" s="13">
        <f t="shared" si="3"/>
        <v>826</v>
      </c>
      <c r="G95" s="19" t="s">
        <v>84</v>
      </c>
      <c r="H95" s="7"/>
      <c r="I95" s="7"/>
      <c r="J95" s="7"/>
    </row>
    <row r="96" spans="1:10">
      <c r="A96" s="5"/>
      <c r="B96" s="7" t="s">
        <v>85</v>
      </c>
      <c r="C96" s="7" t="s">
        <v>86</v>
      </c>
      <c r="D96" s="7">
        <v>4</v>
      </c>
      <c r="E96" s="18">
        <v>59</v>
      </c>
      <c r="F96" s="13">
        <f t="shared" si="3"/>
        <v>236</v>
      </c>
      <c r="G96" s="19" t="s">
        <v>87</v>
      </c>
      <c r="H96" s="7"/>
      <c r="I96" s="7"/>
      <c r="J96" s="7"/>
    </row>
    <row r="97" spans="1:10">
      <c r="A97" s="5"/>
      <c r="B97" s="7" t="s">
        <v>88</v>
      </c>
      <c r="C97" s="7" t="s">
        <v>89</v>
      </c>
      <c r="D97" s="7">
        <v>1</v>
      </c>
      <c r="E97" s="18">
        <v>908</v>
      </c>
      <c r="F97" s="13">
        <f t="shared" si="3"/>
        <v>908</v>
      </c>
      <c r="G97" s="19" t="s">
        <v>90</v>
      </c>
      <c r="H97" s="7"/>
      <c r="I97" s="7"/>
      <c r="J97" s="7"/>
    </row>
    <row r="98" spans="1:10">
      <c r="A98" s="5"/>
      <c r="B98" s="7" t="s">
        <v>91</v>
      </c>
      <c r="C98" s="7" t="s">
        <v>92</v>
      </c>
      <c r="D98" s="7">
        <v>3</v>
      </c>
      <c r="E98" s="18">
        <v>69</v>
      </c>
      <c r="F98" s="13">
        <f t="shared" si="3"/>
        <v>207</v>
      </c>
      <c r="G98" s="19" t="s">
        <v>93</v>
      </c>
      <c r="H98" s="7"/>
      <c r="I98" s="7"/>
      <c r="J98" s="7"/>
    </row>
    <row r="99" spans="1:10">
      <c r="A99" s="5"/>
      <c r="B99" s="7"/>
      <c r="C99" s="7"/>
      <c r="D99" s="7"/>
      <c r="E99" s="18"/>
      <c r="F99" s="13">
        <f t="shared" si="3"/>
        <v>0</v>
      </c>
      <c r="G99" s="7"/>
      <c r="H99" s="7"/>
      <c r="I99" s="7"/>
      <c r="J99" s="7"/>
    </row>
    <row r="100" spans="1:10">
      <c r="A100" s="5"/>
      <c r="B100" s="7"/>
      <c r="C100" s="7"/>
      <c r="D100" s="7"/>
      <c r="E100" s="18"/>
      <c r="F100" s="13">
        <f t="shared" si="3"/>
        <v>0</v>
      </c>
      <c r="G100" s="7"/>
      <c r="H100" s="7"/>
      <c r="I100" s="7"/>
      <c r="J100" s="7"/>
    </row>
    <row r="101" spans="1:10">
      <c r="A101" s="5"/>
      <c r="B101" s="7"/>
      <c r="C101" s="7"/>
      <c r="D101" s="7"/>
      <c r="E101" s="18"/>
      <c r="F101" s="13">
        <f t="shared" si="3"/>
        <v>0</v>
      </c>
      <c r="G101" s="7"/>
      <c r="H101" s="7"/>
      <c r="I101" s="7"/>
      <c r="J101" s="7"/>
    </row>
    <row r="102" spans="1:10">
      <c r="A102" s="5"/>
      <c r="B102" s="7"/>
      <c r="C102" s="7"/>
      <c r="D102" s="7"/>
      <c r="E102" s="18"/>
      <c r="F102" s="13">
        <f t="shared" si="3"/>
        <v>0</v>
      </c>
      <c r="G102" s="7"/>
      <c r="H102" s="7"/>
      <c r="I102" s="7"/>
      <c r="J102" s="7"/>
    </row>
    <row r="103" spans="1:10">
      <c r="A103" s="5"/>
      <c r="B103" s="7"/>
      <c r="C103" s="7"/>
      <c r="D103" s="7"/>
      <c r="E103" s="18"/>
      <c r="F103" s="13">
        <f t="shared" si="3"/>
        <v>0</v>
      </c>
      <c r="G103" s="7"/>
      <c r="H103" s="7"/>
      <c r="I103" s="7"/>
      <c r="J103" s="7"/>
    </row>
    <row r="104" spans="1:10">
      <c r="A104" s="5"/>
      <c r="B104" s="7"/>
      <c r="C104" s="7"/>
      <c r="D104" s="7"/>
      <c r="E104" s="18"/>
      <c r="F104" s="13">
        <f t="shared" si="3"/>
        <v>0</v>
      </c>
      <c r="G104" s="7"/>
      <c r="H104" s="7"/>
      <c r="I104" s="7"/>
      <c r="J104" s="7"/>
    </row>
    <row r="105" spans="1:10">
      <c r="A105" s="5"/>
      <c r="B105" s="7"/>
      <c r="C105" s="7"/>
      <c r="D105" s="7"/>
      <c r="E105" s="18"/>
      <c r="F105" s="13">
        <f t="shared" si="3"/>
        <v>0</v>
      </c>
      <c r="G105" s="7"/>
      <c r="H105" s="7"/>
      <c r="I105" s="7"/>
      <c r="J105" s="7"/>
    </row>
    <row r="106" spans="1:10">
      <c r="A106" s="5"/>
      <c r="B106" s="7"/>
      <c r="C106" s="7"/>
      <c r="D106" s="7"/>
      <c r="E106" s="18"/>
      <c r="F106" s="13">
        <f t="shared" si="3"/>
        <v>0</v>
      </c>
      <c r="G106" s="7"/>
      <c r="H106" s="7"/>
      <c r="I106" s="7"/>
      <c r="J106" s="7"/>
    </row>
    <row r="107" spans="1:10">
      <c r="A107" s="5"/>
      <c r="B107" s="7"/>
      <c r="C107" s="7"/>
      <c r="D107" s="7"/>
      <c r="E107" s="18"/>
      <c r="F107" s="13">
        <f t="shared" si="3"/>
        <v>0</v>
      </c>
      <c r="G107" s="7"/>
      <c r="H107" s="7"/>
      <c r="I107" s="7"/>
      <c r="J107" s="7"/>
    </row>
    <row r="108" spans="1:10">
      <c r="A108" s="5"/>
      <c r="B108" s="7"/>
      <c r="C108" s="7"/>
      <c r="D108" s="7"/>
      <c r="E108" s="18"/>
      <c r="F108" s="13">
        <f t="shared" si="3"/>
        <v>0</v>
      </c>
      <c r="G108" s="7"/>
      <c r="H108" s="7"/>
      <c r="I108" s="7"/>
      <c r="J108" s="7"/>
    </row>
    <row r="109" spans="1:10">
      <c r="A109" s="5"/>
      <c r="B109" s="7"/>
      <c r="C109" s="7"/>
      <c r="D109" s="7"/>
      <c r="E109" s="18"/>
      <c r="F109" s="13">
        <f t="shared" si="3"/>
        <v>0</v>
      </c>
      <c r="G109" s="7"/>
      <c r="H109" s="7"/>
      <c r="I109" s="7"/>
      <c r="J109" s="7"/>
    </row>
    <row r="110" spans="1:10">
      <c r="A110" s="5"/>
      <c r="B110" s="7"/>
      <c r="C110" s="7"/>
      <c r="D110" s="7"/>
      <c r="E110" s="18"/>
      <c r="F110" s="13">
        <f t="shared" si="3"/>
        <v>0</v>
      </c>
      <c r="G110" s="7"/>
      <c r="H110" s="7"/>
      <c r="I110" s="7"/>
      <c r="J110" s="7"/>
    </row>
    <row r="111" spans="1:10">
      <c r="A111" s="8" t="s">
        <v>94</v>
      </c>
      <c r="B111" s="9" t="s">
        <v>95</v>
      </c>
      <c r="C111" s="9" t="s">
        <v>16</v>
      </c>
      <c r="D111" s="9">
        <v>1</v>
      </c>
      <c r="E111" s="15">
        <v>499</v>
      </c>
      <c r="F111" s="16">
        <f t="shared" si="3"/>
        <v>499</v>
      </c>
      <c r="G111" s="17" t="s">
        <v>96</v>
      </c>
      <c r="H111" s="9"/>
      <c r="I111" s="9"/>
      <c r="J111" s="9"/>
    </row>
    <row r="112" spans="1:10">
      <c r="A112" s="8"/>
      <c r="B112" s="9" t="s">
        <v>97</v>
      </c>
      <c r="C112" s="9" t="s">
        <v>73</v>
      </c>
      <c r="D112" s="9">
        <v>1</v>
      </c>
      <c r="E112" s="15">
        <v>329</v>
      </c>
      <c r="F112" s="16">
        <f t="shared" si="3"/>
        <v>329</v>
      </c>
      <c r="G112" s="17" t="s">
        <v>98</v>
      </c>
      <c r="H112" s="9"/>
      <c r="I112" s="9"/>
      <c r="J112" s="9"/>
    </row>
    <row r="113" spans="1:10">
      <c r="A113" s="8"/>
      <c r="B113" s="9" t="s">
        <v>99</v>
      </c>
      <c r="C113" s="9" t="s">
        <v>16</v>
      </c>
      <c r="D113" s="9">
        <v>1</v>
      </c>
      <c r="E113" s="15">
        <v>2780</v>
      </c>
      <c r="F113" s="16">
        <f t="shared" si="3"/>
        <v>2780</v>
      </c>
      <c r="G113" s="17"/>
      <c r="H113" s="9"/>
      <c r="I113" s="9"/>
      <c r="J113" s="9"/>
    </row>
    <row r="114" spans="1:10">
      <c r="A114" s="8"/>
      <c r="B114" s="9" t="s">
        <v>100</v>
      </c>
      <c r="C114" s="9" t="s">
        <v>16</v>
      </c>
      <c r="D114" s="9">
        <v>1</v>
      </c>
      <c r="E114" s="15">
        <v>349</v>
      </c>
      <c r="F114" s="16">
        <f t="shared" ref="F114:F145" si="4">D114*E114</f>
        <v>349</v>
      </c>
      <c r="G114" s="17" t="s">
        <v>101</v>
      </c>
      <c r="H114" s="9"/>
      <c r="I114" s="9"/>
      <c r="J114" s="9"/>
    </row>
    <row r="115" spans="1:10">
      <c r="A115" s="8"/>
      <c r="B115" s="9" t="s">
        <v>102</v>
      </c>
      <c r="C115" s="9" t="s">
        <v>28</v>
      </c>
      <c r="D115" s="9">
        <v>1</v>
      </c>
      <c r="E115" s="15">
        <v>99</v>
      </c>
      <c r="F115" s="16">
        <f t="shared" si="4"/>
        <v>99</v>
      </c>
      <c r="G115" s="17" t="s">
        <v>103</v>
      </c>
      <c r="H115" s="9"/>
      <c r="I115" s="9"/>
      <c r="J115" s="9"/>
    </row>
    <row r="116" spans="1:10">
      <c r="A116" s="8"/>
      <c r="B116" s="9" t="s">
        <v>104</v>
      </c>
      <c r="C116" s="9" t="s">
        <v>73</v>
      </c>
      <c r="D116" s="9">
        <v>1</v>
      </c>
      <c r="E116" s="15">
        <v>219</v>
      </c>
      <c r="F116" s="16">
        <f t="shared" si="4"/>
        <v>219</v>
      </c>
      <c r="G116" s="17" t="s">
        <v>105</v>
      </c>
      <c r="H116" s="9"/>
      <c r="I116" s="9"/>
      <c r="J116" s="9"/>
    </row>
    <row r="117" spans="1:10">
      <c r="A117" s="8"/>
      <c r="B117" s="9" t="s">
        <v>106</v>
      </c>
      <c r="C117" s="9" t="s">
        <v>92</v>
      </c>
      <c r="D117" s="9">
        <v>3</v>
      </c>
      <c r="E117" s="15">
        <v>129</v>
      </c>
      <c r="F117" s="16">
        <f t="shared" si="4"/>
        <v>387</v>
      </c>
      <c r="G117" s="17" t="s">
        <v>107</v>
      </c>
      <c r="H117" s="9"/>
      <c r="I117" s="9"/>
      <c r="J117" s="9"/>
    </row>
    <row r="118" spans="1:10">
      <c r="A118" s="8"/>
      <c r="B118" s="9" t="s">
        <v>108</v>
      </c>
      <c r="C118" s="9" t="s">
        <v>109</v>
      </c>
      <c r="D118" s="9">
        <v>4</v>
      </c>
      <c r="E118" s="15">
        <v>29</v>
      </c>
      <c r="F118" s="16">
        <f t="shared" si="4"/>
        <v>116</v>
      </c>
      <c r="G118" s="17" t="s">
        <v>110</v>
      </c>
      <c r="H118" s="9"/>
      <c r="I118" s="9"/>
      <c r="J118" s="9"/>
    </row>
    <row r="119" spans="1:10">
      <c r="A119" s="8"/>
      <c r="B119" s="9" t="s">
        <v>111</v>
      </c>
      <c r="C119" s="9"/>
      <c r="D119" s="9">
        <v>1</v>
      </c>
      <c r="E119" s="15">
        <v>59</v>
      </c>
      <c r="F119" s="16">
        <f t="shared" si="4"/>
        <v>59</v>
      </c>
      <c r="G119" s="17" t="s">
        <v>112</v>
      </c>
      <c r="H119" s="9"/>
      <c r="I119" s="9"/>
      <c r="J119" s="9"/>
    </row>
    <row r="120" spans="1:10">
      <c r="A120" s="8"/>
      <c r="B120" s="9" t="s">
        <v>113</v>
      </c>
      <c r="C120" s="9" t="s">
        <v>92</v>
      </c>
      <c r="D120" s="9">
        <v>3</v>
      </c>
      <c r="E120" s="15">
        <v>49</v>
      </c>
      <c r="F120" s="16">
        <f t="shared" si="4"/>
        <v>147</v>
      </c>
      <c r="G120" s="17" t="s">
        <v>114</v>
      </c>
      <c r="H120" s="9"/>
      <c r="I120" s="9"/>
      <c r="J120" s="9"/>
    </row>
    <row r="121" spans="1:10">
      <c r="A121" s="8"/>
      <c r="B121" s="9" t="s">
        <v>115</v>
      </c>
      <c r="C121" s="9" t="s">
        <v>116</v>
      </c>
      <c r="D121" s="9">
        <v>8</v>
      </c>
      <c r="E121" s="15">
        <v>49</v>
      </c>
      <c r="F121" s="16">
        <f t="shared" si="4"/>
        <v>392</v>
      </c>
      <c r="G121" s="17" t="s">
        <v>117</v>
      </c>
      <c r="H121" s="9"/>
      <c r="I121" s="9"/>
      <c r="J121" s="9"/>
    </row>
    <row r="122" spans="1:10">
      <c r="A122" s="8"/>
      <c r="B122" s="9" t="s">
        <v>118</v>
      </c>
      <c r="C122" s="9"/>
      <c r="D122" s="9">
        <v>1</v>
      </c>
      <c r="E122" s="15">
        <v>149</v>
      </c>
      <c r="F122" s="16">
        <f t="shared" si="4"/>
        <v>149</v>
      </c>
      <c r="G122" s="17" t="s">
        <v>119</v>
      </c>
      <c r="H122" s="9"/>
      <c r="I122" s="9"/>
      <c r="J122" s="9"/>
    </row>
    <row r="123" spans="1:10">
      <c r="A123" s="8"/>
      <c r="B123" s="9" t="s">
        <v>120</v>
      </c>
      <c r="C123" s="9"/>
      <c r="D123" s="9">
        <v>1</v>
      </c>
      <c r="E123" s="15">
        <v>149</v>
      </c>
      <c r="F123" s="16">
        <f t="shared" si="4"/>
        <v>149</v>
      </c>
      <c r="G123" s="17" t="s">
        <v>121</v>
      </c>
      <c r="H123" s="9"/>
      <c r="I123" s="9"/>
      <c r="J123" s="9"/>
    </row>
    <row r="124" spans="1:10">
      <c r="A124" s="8"/>
      <c r="B124" s="9" t="s">
        <v>122</v>
      </c>
      <c r="C124" s="9" t="s">
        <v>123</v>
      </c>
      <c r="D124" s="9">
        <v>3</v>
      </c>
      <c r="E124" s="15">
        <v>799</v>
      </c>
      <c r="F124" s="16">
        <f t="shared" si="4"/>
        <v>2397</v>
      </c>
      <c r="G124" s="17" t="s">
        <v>124</v>
      </c>
      <c r="H124" s="9"/>
      <c r="I124" s="9"/>
      <c r="J124" s="9"/>
    </row>
    <row r="125" spans="1:10">
      <c r="A125" s="8"/>
      <c r="B125" s="9" t="s">
        <v>125</v>
      </c>
      <c r="C125" s="9" t="s">
        <v>92</v>
      </c>
      <c r="D125" s="9">
        <v>3</v>
      </c>
      <c r="E125" s="15">
        <v>79</v>
      </c>
      <c r="F125" s="16">
        <f t="shared" si="4"/>
        <v>237</v>
      </c>
      <c r="G125" s="17" t="s">
        <v>126</v>
      </c>
      <c r="H125" s="9"/>
      <c r="I125" s="9"/>
      <c r="J125" s="9"/>
    </row>
    <row r="126" spans="1:10">
      <c r="A126" s="8"/>
      <c r="B126" s="9"/>
      <c r="C126" s="9"/>
      <c r="D126" s="9"/>
      <c r="E126" s="15"/>
      <c r="F126" s="16">
        <f t="shared" si="4"/>
        <v>0</v>
      </c>
      <c r="G126" s="9"/>
      <c r="H126" s="9"/>
      <c r="I126" s="9"/>
      <c r="J126" s="9"/>
    </row>
    <row r="127" spans="1:10">
      <c r="A127" s="8"/>
      <c r="B127" s="9"/>
      <c r="C127" s="9"/>
      <c r="D127" s="9"/>
      <c r="E127" s="15"/>
      <c r="F127" s="16">
        <f t="shared" si="4"/>
        <v>0</v>
      </c>
      <c r="G127" s="9"/>
      <c r="H127" s="9"/>
      <c r="I127" s="9"/>
      <c r="J127" s="9"/>
    </row>
    <row r="128" spans="1:10">
      <c r="A128" s="8"/>
      <c r="B128" s="9"/>
      <c r="C128" s="9"/>
      <c r="D128" s="9"/>
      <c r="E128" s="15"/>
      <c r="F128" s="16">
        <f t="shared" si="4"/>
        <v>0</v>
      </c>
      <c r="G128" s="9"/>
      <c r="H128" s="9"/>
      <c r="I128" s="9"/>
      <c r="J128" s="9"/>
    </row>
    <row r="129" spans="1:10">
      <c r="A129" s="8"/>
      <c r="B129" s="9"/>
      <c r="C129" s="9"/>
      <c r="D129" s="9"/>
      <c r="E129" s="15"/>
      <c r="F129" s="16">
        <f t="shared" si="4"/>
        <v>0</v>
      </c>
      <c r="G129" s="9"/>
      <c r="H129" s="9"/>
      <c r="I129" s="9"/>
      <c r="J129" s="9"/>
    </row>
    <row r="130" spans="1:10">
      <c r="A130" s="8"/>
      <c r="B130" s="9"/>
      <c r="C130" s="9"/>
      <c r="D130" s="9"/>
      <c r="E130" s="15"/>
      <c r="F130" s="16">
        <f t="shared" si="4"/>
        <v>0</v>
      </c>
      <c r="G130" s="9"/>
      <c r="H130" s="9"/>
      <c r="I130" s="9"/>
      <c r="J130" s="9"/>
    </row>
    <row r="131" spans="1:10">
      <c r="A131" s="8"/>
      <c r="B131" s="9"/>
      <c r="C131" s="9"/>
      <c r="D131" s="9"/>
      <c r="E131" s="15"/>
      <c r="F131" s="16">
        <f t="shared" si="4"/>
        <v>0</v>
      </c>
      <c r="G131" s="9"/>
      <c r="H131" s="9"/>
      <c r="I131" s="9"/>
      <c r="J131" s="9"/>
    </row>
    <row r="132" spans="1:10">
      <c r="A132" s="8"/>
      <c r="B132" s="9"/>
      <c r="C132" s="9"/>
      <c r="D132" s="9"/>
      <c r="E132" s="15"/>
      <c r="F132" s="16">
        <f t="shared" si="4"/>
        <v>0</v>
      </c>
      <c r="G132" s="9"/>
      <c r="H132" s="9"/>
      <c r="I132" s="9"/>
      <c r="J132" s="9"/>
    </row>
    <row r="133" spans="1:10">
      <c r="A133" s="8"/>
      <c r="B133" s="9"/>
      <c r="C133" s="9"/>
      <c r="D133" s="9"/>
      <c r="E133" s="15"/>
      <c r="F133" s="16">
        <f t="shared" si="4"/>
        <v>0</v>
      </c>
      <c r="G133" s="9"/>
      <c r="H133" s="9"/>
      <c r="I133" s="9"/>
      <c r="J133" s="9"/>
    </row>
    <row r="134" spans="1:10">
      <c r="A134" s="8"/>
      <c r="B134" s="9"/>
      <c r="C134" s="9"/>
      <c r="D134" s="9"/>
      <c r="E134" s="15"/>
      <c r="F134" s="16">
        <f t="shared" si="4"/>
        <v>0</v>
      </c>
      <c r="G134" s="9"/>
      <c r="H134" s="9"/>
      <c r="I134" s="9"/>
      <c r="J134" s="9"/>
    </row>
    <row r="135" spans="1:10">
      <c r="A135" s="8"/>
      <c r="B135" s="9"/>
      <c r="C135" s="9"/>
      <c r="D135" s="9"/>
      <c r="E135" s="15"/>
      <c r="F135" s="16">
        <f t="shared" si="4"/>
        <v>0</v>
      </c>
      <c r="G135" s="9"/>
      <c r="H135" s="9"/>
      <c r="I135" s="9"/>
      <c r="J135" s="9"/>
    </row>
    <row r="136" spans="1:10">
      <c r="A136" s="8"/>
      <c r="B136" s="9"/>
      <c r="C136" s="9"/>
      <c r="D136" s="9"/>
      <c r="E136" s="15"/>
      <c r="F136" s="16">
        <f t="shared" si="4"/>
        <v>0</v>
      </c>
      <c r="G136" s="9"/>
      <c r="H136" s="9"/>
      <c r="I136" s="9"/>
      <c r="J136" s="9"/>
    </row>
    <row r="137" spans="1:10">
      <c r="A137" s="8"/>
      <c r="B137" s="9"/>
      <c r="C137" s="9"/>
      <c r="D137" s="9"/>
      <c r="E137" s="15"/>
      <c r="F137" s="16">
        <f t="shared" si="4"/>
        <v>0</v>
      </c>
      <c r="G137" s="9"/>
      <c r="H137" s="9"/>
      <c r="I137" s="9"/>
      <c r="J137" s="9"/>
    </row>
    <row r="138" spans="1:10">
      <c r="A138" s="8"/>
      <c r="B138" s="9"/>
      <c r="C138" s="9"/>
      <c r="D138" s="9"/>
      <c r="E138" s="15"/>
      <c r="F138" s="16">
        <f t="shared" si="4"/>
        <v>0</v>
      </c>
      <c r="G138" s="9"/>
      <c r="H138" s="9"/>
      <c r="I138" s="9"/>
      <c r="J138" s="9"/>
    </row>
    <row r="139" spans="1:10">
      <c r="A139" s="8"/>
      <c r="B139" s="9"/>
      <c r="C139" s="9"/>
      <c r="D139" s="9"/>
      <c r="E139" s="15"/>
      <c r="F139" s="16">
        <f t="shared" si="4"/>
        <v>0</v>
      </c>
      <c r="G139" s="9"/>
      <c r="H139" s="9"/>
      <c r="I139" s="9"/>
      <c r="J139" s="9"/>
    </row>
    <row r="140" spans="1:10">
      <c r="A140" s="8"/>
      <c r="B140" s="9"/>
      <c r="C140" s="9"/>
      <c r="D140" s="9"/>
      <c r="E140" s="15"/>
      <c r="F140" s="16">
        <f t="shared" si="4"/>
        <v>0</v>
      </c>
      <c r="G140" s="9"/>
      <c r="H140" s="9"/>
      <c r="I140" s="9"/>
      <c r="J140" s="9"/>
    </row>
    <row r="141" spans="1:10">
      <c r="A141" s="8"/>
      <c r="B141" s="9"/>
      <c r="C141" s="9"/>
      <c r="D141" s="9"/>
      <c r="E141" s="15"/>
      <c r="F141" s="16">
        <f t="shared" si="4"/>
        <v>0</v>
      </c>
      <c r="G141" s="9"/>
      <c r="H141" s="9"/>
      <c r="I141" s="9"/>
      <c r="J141" s="9"/>
    </row>
    <row r="142" spans="1:10">
      <c r="A142" s="8"/>
      <c r="B142" s="9"/>
      <c r="C142" s="9"/>
      <c r="D142" s="9"/>
      <c r="E142" s="15"/>
      <c r="F142" s="16">
        <f t="shared" si="4"/>
        <v>0</v>
      </c>
      <c r="G142" s="9"/>
      <c r="H142" s="9"/>
      <c r="I142" s="9"/>
      <c r="J142" s="9"/>
    </row>
    <row r="143" spans="1:10">
      <c r="A143" s="8"/>
      <c r="B143" s="9"/>
      <c r="C143" s="9"/>
      <c r="D143" s="9"/>
      <c r="E143" s="15"/>
      <c r="F143" s="16">
        <f t="shared" si="4"/>
        <v>0</v>
      </c>
      <c r="G143" s="9"/>
      <c r="H143" s="9"/>
      <c r="I143" s="9"/>
      <c r="J143" s="9"/>
    </row>
    <row r="144" spans="1:10">
      <c r="A144" s="8"/>
      <c r="B144" s="9"/>
      <c r="C144" s="9"/>
      <c r="D144" s="9"/>
      <c r="E144" s="15"/>
      <c r="F144" s="16">
        <f t="shared" si="4"/>
        <v>0</v>
      </c>
      <c r="G144" s="9"/>
      <c r="H144" s="9"/>
      <c r="I144" s="9"/>
      <c r="J144" s="9"/>
    </row>
    <row r="145" s="1" customFormat="1" spans="1:10">
      <c r="A145" s="8"/>
      <c r="B145" s="9"/>
      <c r="C145" s="9"/>
      <c r="D145" s="9"/>
      <c r="E145" s="15"/>
      <c r="F145" s="16">
        <f t="shared" si="4"/>
        <v>0</v>
      </c>
      <c r="G145" s="9"/>
      <c r="H145" s="9"/>
      <c r="I145" s="9"/>
      <c r="J145" s="9"/>
    </row>
    <row r="146" spans="1:10">
      <c r="A146" s="21" t="s">
        <v>127</v>
      </c>
      <c r="B146" s="22">
        <f>SUM(F:F)</f>
        <v>41553</v>
      </c>
      <c r="C146" s="8"/>
      <c r="D146" s="8"/>
      <c r="E146" s="8"/>
      <c r="F146" s="8"/>
      <c r="G146" s="8"/>
      <c r="H146" s="8"/>
      <c r="I146" s="8"/>
      <c r="J146" s="8"/>
    </row>
    <row r="147" spans="1:10">
      <c r="A147" s="21"/>
      <c r="B147" s="22"/>
      <c r="C147" s="8"/>
      <c r="D147" s="8"/>
      <c r="E147" s="8"/>
      <c r="F147" s="8"/>
      <c r="G147" s="8"/>
      <c r="H147" s="8"/>
      <c r="I147" s="8"/>
      <c r="J147" s="8"/>
    </row>
    <row r="148" spans="1:10">
      <c r="A148" s="21"/>
      <c r="B148" s="22"/>
      <c r="C148" s="8"/>
      <c r="D148" s="8"/>
      <c r="E148" s="8"/>
      <c r="F148" s="8"/>
      <c r="G148" s="8"/>
      <c r="H148" s="8"/>
      <c r="I148" s="8"/>
      <c r="J148" s="8"/>
    </row>
  </sheetData>
  <mergeCells count="13">
    <mergeCell ref="A2:A3"/>
    <mergeCell ref="A4:A16"/>
    <mergeCell ref="A17:A28"/>
    <mergeCell ref="A29:A41"/>
    <mergeCell ref="A42:A57"/>
    <mergeCell ref="A58:A73"/>
    <mergeCell ref="A74:A81"/>
    <mergeCell ref="A82:A93"/>
    <mergeCell ref="A94:A110"/>
    <mergeCell ref="A111:A145"/>
    <mergeCell ref="A146:A148"/>
    <mergeCell ref="B146:B148"/>
    <mergeCell ref="C146:J148"/>
  </mergeCells>
  <dataValidations count="1">
    <dataValidation type="list" allowBlank="1" showInputMessage="1" showErrorMessage="1" sqref="H92 J92 H113 J113 H1:H3 H4:H5 H6:H86 H87:H91 H93:H112 H114:H1048576 J1:J3 J4:J5 J6:J86 J87:J91 J93:J112 J114:J145 J147:J1048576">
      <formula1>"是,否"</formula1>
    </dataValidation>
  </dataValidations>
  <hyperlinks>
    <hyperlink ref="G2" r:id="rId1" display="https://www.xiaomiyoupin.com/detail?gid=135822&amp;spmref=YouPinPC.$SearchFilter$1.search_list.2.88286525" tooltip="https://www.xiaomiyoupin.com/detail?gid=135822&amp;spmref=YouPinPC.$SearchFilter$1.search_list.2.88286525"/>
    <hyperlink ref="G3" r:id="rId2" display="https://www.xiaomiyoupin.com/detail?gid=117795&amp;spmref=YouPinPC.$SearchFilter$1.search_list.1.28886673" tooltip="https://www.xiaomiyoupin.com/detail?gid=117795&amp;spmref=YouPinPC.$SearchFilter$1.search_list.1.28886673"/>
    <hyperlink ref="G98" r:id="rId3" display="https://www.xiaomiyoupin.com/detail?gid=107044&amp;spmref=YouPinPC.$SearchFilter$1.search_list.1.92152508"/>
    <hyperlink ref="G82" r:id="rId4" display="https://www.xiaomiyoupin.com/detail?gid=111293&amp;spmref=YouPinPC.$SearchFilter$1.search_list.4.98115509"/>
    <hyperlink ref="G96" r:id="rId5" display="https://www.xiaomiyoupin.com/detail?gid=138454&amp;spmref=YouPinPC.$SearchFilter$1.search_list.1.82640765"/>
    <hyperlink ref="G97" r:id="rId6" display="https://detail.tmall.com/item.htm?spm=a230r.1.14.33.5bd49268u4EV93&amp;id=529812477966&amp;ns=1&amp;abbucket=7&amp;skuId=3157259186921"/>
    <hyperlink ref="G95" r:id="rId7" display="https://www.xiaomiyoupin.com/detail?gid=140177&amp;spmref=YouPinPC.$SearchFilter$1.search_list.6.18683976"/>
    <hyperlink ref="G94" r:id="rId8" display="https://detail.tmall.com/item.htm?spm=a230r.1.14.127.6e44622fiTCBq2&amp;id=25876644822&amp;ns=1&amp;abbucket=16&amp;skuId=35977245669"/>
    <hyperlink ref="G83" r:id="rId9" display="https://item.taobao.com/item.htm?id=593028039732&amp;price=39-188&amp;original_price=80-436&amp;sourceType=item&amp;sourceType=item&amp;suid=e79d86f5-7c8e-46be-9fda-778b61054d5e&amp;shareUniqueId=7790585142&amp;ut_sk=1.XCwCMwk8jjwDAEGvvZy5Lveg_21646297_1613630634407.Copy.1&amp;un=718dd11419ff10cc6eabd07a58355624&amp;share_crt_v=1&amp;spm=a2159r.13376460.0.0&amp;sp_tk=cUJVRGN4ZjZsbG4=&amp;cpp=1&amp;shareurl=true&amp;short_name=h.4kzopq7&amp;bxsign=scdQb1KsAV1P6jKP_N3azig_gyp9wyfJ5YSgu5aWm6ibl9HDGzPtj71SByVbDCmyFkmHnrOJNbUYdiPHQIUJJVaSnxQP9zobHX8zF7w1Rjcxxc&amp;sm=711516&amp;app=chrome" tooltip="https://item.taobao.com/item.htm?id=593028039732&amp;price=39-188&amp;original_price=80-436&amp;sourceType=item&amp;sourceType=item&amp;suid=e79d86f5-7c8e-46be-9fda-778b61054d5e&amp;shareUniqueId=7790585142&amp;ut_sk=1.XCwCMwk8jjwDAEGvvZy5Lveg_21646297_1613630634407.Copy.1&amp;un=718dd1"/>
    <hyperlink ref="G85" r:id="rId10" display="https://www.xiaomiyoupin.com/detail?gid=107408&amp;spmref=YouPinPC.$SearchFilter$1.search_list.3.38724657"/>
    <hyperlink ref="G86" r:id="rId11" display="https://www.xiaomiyoupin.com/detail?gid=102620&amp;spmref=YouPinPC.$SearchFilter$1.search_list.4.59283788"/>
    <hyperlink ref="G4" r:id="rId12" display="https://www.xiaomiyoupin.com/detail?gid=127787&amp;spmref=YouPinPC.$SearchFilter$1.search_list.4.43183516"/>
    <hyperlink ref="G5" r:id="rId13" display="https://product.suning.com/0000000000/12027150633.html?safp=d488778a.13701.productWrap.11&amp;safc=prd.0.0&amp;safpn=10007" tooltip="https://product.suning.com/0000000000/12027150633.html?safp=d488778a.13701.productWrap.11&amp;safc=prd.0.0&amp;safpn=10007"/>
    <hyperlink ref="G42" r:id="rId14" display="https://product.suning.com/0070088046/11629599146.html?safp=d488778a.13701.productWrap.28&amp;safc=prd.0.0&amp;safpn=10007" tooltip="https://product.suning.com/0070088046/11629599146.html?safp=d488778a.13701.productWrap.28&amp;safc=prd.0.0&amp;safpn=10007"/>
    <hyperlink ref="G60" r:id="rId14" display="https://product.suning.com/0070088046/11629599146.html?safp=d488778a.13701.productWrap.28&amp;safc=prd.0.0&amp;safpn=10007"/>
    <hyperlink ref="G74" r:id="rId15" display="https://www.xiaomiyoupin.com/detail?gid=125026&amp;spmref=YouPinPC.$SearchFilter$1.search_list.1.75195754"/>
    <hyperlink ref="G29" r:id="rId16" display="https://www.xiaomiyoupin.com/detail?gid=115357&amp;spmref=YouPinPC.$SearchFilter$1.search_list.2.42933064"/>
    <hyperlink ref="G32" r:id="rId17" display="https://www.xiaomiyoupin.com/detail?gid=119960&amp;spmref=YouPinPC.$SearchFilter$1.search_list.2.21706242"/>
    <hyperlink ref="G114" r:id="rId18" display="https://www.xiaomiyoupin.com/detail?gid=120633&amp;spmref=YouPinPC.$SearchFilter$1.search_list.10.68661011"/>
    <hyperlink ref="G115" r:id="rId19" display="https://www.xiaomiyoupin.com/detail?gid=108117&amp;spmref=YouPinPC.$SearchFilter$1.search_list.1.7727539"/>
    <hyperlink ref="G116" r:id="rId20" display="https://www.xiaomiyoupin.com/detail?gid=105569&amp;spmref=YouPinPC.$SearchFilter$1.search_list.2.82926633"/>
    <hyperlink ref="G117" r:id="rId21" display="https://www.xiaomiyoupin.com/detail?gid=117249&amp;spmref=YouPinPC.$SearchFilter$1.search_list.1.34473844"/>
    <hyperlink ref="G118" r:id="rId22" display="https://www.xiaomiyoupin.com/detail?gid=116724&amp;spmref=YouPinPC.$SearchFilter$1.search_list.11.86265558"/>
    <hyperlink ref="G119" r:id="rId23" display="https://www.xiaomiyoupin.com/detail?gid=139300&amp;spmref=YouPinPC.$SearchFilter$1.search_list.4.78515874"/>
    <hyperlink ref="G120" r:id="rId24" display="https://www.xiaomiyoupin.com/detail?gid=117275&amp;spmref=YouPinPC.$SearchFilter$1.search_list.7.98403755"/>
    <hyperlink ref="G121" r:id="rId25" display="https://www.xiaomiyoupin.com/detail?gid=101464&amp;spmref=YouPinPC.$SearchFilter$1.search_list.3.57662123"/>
    <hyperlink ref="G122" r:id="rId26" display="https://www.xiaomiyoupin.com/detail?gid=101409&amp;spmref=YouPinPC.$SearchFilter$1.search_list.4.16251800"/>
    <hyperlink ref="G123" r:id="rId27" display="https://www.xiaomiyoupin.com/detail?gid=101412&amp;spmref=YouPinPC.$SearchFilter$1.search_list.8.38282190"/>
    <hyperlink ref="G111" r:id="rId28" display="https://www.xiaomiyoupin.com/detail?gid=118606&amp;spmref=YouPinPC.$SearchFilter$1.search_list.2.91557377"/>
    <hyperlink ref="G112" r:id="rId29" display="https://www.xiaomiyoupin.com/detail?gid=125953&amp;spmref=YouPinPC.$SearchFilter$1.search_list.5.94374411"/>
    <hyperlink ref="G125" r:id="rId30" display="https://www.xiaomiyoupin.com/detail?gid=106616&amp;spmref=YouPinPC.$SearchFilter$1.search_list.1.34177316"/>
    <hyperlink ref="G124" r:id="rId31" display="https://www.xiaomiyoupin.com/detail?gid=132927&amp;spmref=YouPinPC.$SearchFilter$1.search_list.1.36815350"/>
    <hyperlink ref="G11" r:id="rId32" display="https://www.xiaomiyoupin.com/detail?gid=126117&amp;spmref=YouPinPC.$SearchFilter$1.search_list.2.56548269"/>
    <hyperlink ref="G19" r:id="rId33" display="https://item.jd.com/100006633518.html" tooltip="https://item.jd.com/100006633518.html"/>
    <hyperlink ref="G21" r:id="rId34" display="https://item.jd.com/100008168207.html#crumb-wrap"/>
    <hyperlink ref="G33" r:id="rId35" display="https://www.xiaomiyoupin.com/detail?gid=136389&amp;spmref=YouPinPC.$SearchFilter$1.search_list.2.28598156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liujialin</dc:creator>
  <dcterms:created xsi:type="dcterms:W3CDTF">2021-02-18T21:52:00Z</dcterms:created>
  <dcterms:modified xsi:type="dcterms:W3CDTF">2021-02-19T14:57:33Z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